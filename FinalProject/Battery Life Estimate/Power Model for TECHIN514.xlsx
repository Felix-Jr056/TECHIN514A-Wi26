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yx/Documents/TECHIN514A-Wi26/FinalProject/Battery Life Estimate/"/>
    </mc:Choice>
  </mc:AlternateContent>
  <xr:revisionPtr revIDLastSave="0" documentId="13_ncr:1_{ADBB6E1F-7AA5-EA4C-AD05-61A81350125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ystem Parameters" sheetId="1" r:id="rId1"/>
    <sheet name="Sensitivity Analysi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/>
  <c r="M68" i="1" s="1"/>
  <c r="M69" i="1" s="1"/>
  <c r="M63" i="1"/>
  <c r="L63" i="1"/>
  <c r="M62" i="1"/>
  <c r="L62" i="1"/>
  <c r="P110" i="2" s="1"/>
  <c r="P111" i="2"/>
  <c r="P109" i="2"/>
  <c r="P113" i="2"/>
  <c r="P114" i="2"/>
  <c r="P118" i="2"/>
  <c r="O118" i="2"/>
  <c r="N118" i="2"/>
  <c r="M118" i="2"/>
  <c r="L118" i="2"/>
  <c r="K118" i="2"/>
  <c r="J118" i="2"/>
  <c r="D118" i="2"/>
  <c r="C118" i="2"/>
  <c r="B118" i="2"/>
  <c r="A118" i="2"/>
  <c r="P117" i="2"/>
  <c r="O117" i="2"/>
  <c r="N117" i="2"/>
  <c r="M117" i="2"/>
  <c r="L117" i="2"/>
  <c r="K117" i="2"/>
  <c r="J117" i="2"/>
  <c r="D117" i="2"/>
  <c r="C117" i="2"/>
  <c r="B117" i="2"/>
  <c r="A117" i="2"/>
  <c r="P116" i="2"/>
  <c r="O116" i="2"/>
  <c r="N116" i="2"/>
  <c r="M116" i="2"/>
  <c r="L116" i="2"/>
  <c r="K116" i="2"/>
  <c r="J116" i="2"/>
  <c r="D116" i="2"/>
  <c r="C116" i="2"/>
  <c r="B116" i="2"/>
  <c r="A116" i="2"/>
  <c r="P115" i="2"/>
  <c r="O115" i="2"/>
  <c r="N115" i="2"/>
  <c r="M115" i="2"/>
  <c r="L115" i="2"/>
  <c r="K115" i="2"/>
  <c r="J115" i="2"/>
  <c r="D115" i="2"/>
  <c r="C115" i="2"/>
  <c r="B115" i="2"/>
  <c r="A115" i="2"/>
  <c r="O114" i="2"/>
  <c r="N114" i="2"/>
  <c r="M114" i="2"/>
  <c r="L114" i="2"/>
  <c r="K114" i="2"/>
  <c r="J114" i="2"/>
  <c r="D114" i="2"/>
  <c r="C114" i="2"/>
  <c r="B114" i="2"/>
  <c r="A114" i="2"/>
  <c r="O113" i="2"/>
  <c r="N113" i="2"/>
  <c r="M113" i="2"/>
  <c r="L113" i="2"/>
  <c r="K113" i="2"/>
  <c r="J113" i="2"/>
  <c r="D113" i="2"/>
  <c r="C113" i="2"/>
  <c r="B113" i="2"/>
  <c r="A113" i="2"/>
  <c r="P112" i="2"/>
  <c r="O112" i="2"/>
  <c r="N112" i="2"/>
  <c r="M112" i="2"/>
  <c r="L112" i="2"/>
  <c r="K112" i="2"/>
  <c r="J112" i="2"/>
  <c r="D112" i="2"/>
  <c r="C112" i="2"/>
  <c r="B112" i="2"/>
  <c r="A112" i="2"/>
  <c r="O111" i="2"/>
  <c r="N111" i="2"/>
  <c r="M111" i="2"/>
  <c r="L111" i="2"/>
  <c r="K111" i="2"/>
  <c r="J111" i="2"/>
  <c r="D111" i="2"/>
  <c r="C111" i="2"/>
  <c r="B111" i="2"/>
  <c r="A111" i="2"/>
  <c r="O110" i="2"/>
  <c r="N110" i="2"/>
  <c r="M110" i="2"/>
  <c r="L110" i="2"/>
  <c r="K110" i="2"/>
  <c r="J110" i="2"/>
  <c r="D110" i="2"/>
  <c r="C110" i="2"/>
  <c r="B110" i="2"/>
  <c r="A110" i="2"/>
  <c r="O109" i="2"/>
  <c r="N109" i="2"/>
  <c r="M109" i="2"/>
  <c r="L109" i="2"/>
  <c r="K109" i="2"/>
  <c r="J109" i="2"/>
  <c r="D109" i="2"/>
  <c r="C109" i="2"/>
  <c r="B109" i="2"/>
  <c r="A109" i="2"/>
  <c r="P108" i="2"/>
  <c r="O108" i="2"/>
  <c r="N108" i="2"/>
  <c r="M108" i="2"/>
  <c r="L108" i="2"/>
  <c r="K108" i="2"/>
  <c r="J108" i="2"/>
  <c r="D108" i="2"/>
  <c r="C108" i="2"/>
  <c r="B108" i="2"/>
  <c r="A108" i="2"/>
  <c r="P107" i="2"/>
  <c r="O107" i="2"/>
  <c r="N107" i="2"/>
  <c r="M107" i="2"/>
  <c r="L107" i="2"/>
  <c r="K107" i="2"/>
  <c r="J107" i="2"/>
  <c r="D107" i="2"/>
  <c r="C107" i="2"/>
  <c r="B107" i="2"/>
  <c r="A107" i="2"/>
  <c r="P106" i="2"/>
  <c r="O106" i="2"/>
  <c r="N106" i="2"/>
  <c r="M106" i="2"/>
  <c r="L106" i="2"/>
  <c r="K106" i="2"/>
  <c r="J106" i="2"/>
  <c r="D106" i="2"/>
  <c r="C106" i="2"/>
  <c r="B106" i="2"/>
  <c r="A106" i="2"/>
  <c r="P105" i="2"/>
  <c r="O105" i="2"/>
  <c r="N105" i="2"/>
  <c r="M105" i="2"/>
  <c r="L105" i="2"/>
  <c r="K105" i="2"/>
  <c r="J105" i="2"/>
  <c r="D105" i="2"/>
  <c r="C105" i="2"/>
  <c r="B105" i="2"/>
  <c r="A105" i="2"/>
  <c r="P104" i="2"/>
  <c r="O104" i="2"/>
  <c r="N104" i="2"/>
  <c r="M104" i="2"/>
  <c r="L104" i="2"/>
  <c r="K104" i="2"/>
  <c r="J104" i="2"/>
  <c r="D104" i="2"/>
  <c r="C104" i="2"/>
  <c r="B104" i="2"/>
  <c r="A104" i="2"/>
  <c r="P103" i="2"/>
  <c r="O103" i="2"/>
  <c r="N103" i="2"/>
  <c r="M103" i="2"/>
  <c r="L103" i="2"/>
  <c r="K103" i="2"/>
  <c r="J103" i="2"/>
  <c r="D103" i="2"/>
  <c r="C103" i="2"/>
  <c r="B103" i="2"/>
  <c r="A103" i="2"/>
  <c r="P102" i="2"/>
  <c r="O102" i="2"/>
  <c r="N102" i="2"/>
  <c r="M102" i="2"/>
  <c r="L102" i="2"/>
  <c r="K102" i="2"/>
  <c r="J102" i="2"/>
  <c r="D102" i="2"/>
  <c r="C102" i="2"/>
  <c r="B102" i="2"/>
  <c r="A102" i="2"/>
  <c r="P101" i="2"/>
  <c r="O101" i="2"/>
  <c r="N101" i="2"/>
  <c r="M101" i="2"/>
  <c r="L101" i="2"/>
  <c r="K101" i="2"/>
  <c r="J101" i="2"/>
  <c r="D101" i="2"/>
  <c r="C101" i="2"/>
  <c r="B101" i="2"/>
  <c r="A101" i="2"/>
  <c r="P100" i="2"/>
  <c r="O100" i="2"/>
  <c r="N100" i="2"/>
  <c r="M100" i="2"/>
  <c r="L100" i="2"/>
  <c r="K100" i="2"/>
  <c r="J100" i="2"/>
  <c r="D100" i="2"/>
  <c r="C100" i="2"/>
  <c r="B100" i="2"/>
  <c r="A100" i="2"/>
  <c r="P99" i="2"/>
  <c r="O99" i="2"/>
  <c r="N99" i="2"/>
  <c r="M99" i="2"/>
  <c r="L99" i="2"/>
  <c r="K99" i="2"/>
  <c r="J99" i="2"/>
  <c r="C99" i="2"/>
  <c r="B99" i="2"/>
  <c r="P98" i="2"/>
  <c r="O98" i="2"/>
  <c r="N98" i="2"/>
  <c r="M98" i="2"/>
  <c r="L98" i="2"/>
  <c r="K98" i="2"/>
  <c r="J98" i="2"/>
  <c r="C98" i="2"/>
  <c r="B98" i="2"/>
  <c r="P97" i="2"/>
  <c r="O97" i="2"/>
  <c r="N97" i="2"/>
  <c r="M97" i="2"/>
  <c r="L97" i="2"/>
  <c r="K97" i="2"/>
  <c r="J97" i="2"/>
  <c r="D97" i="2"/>
  <c r="C97" i="2"/>
  <c r="B97" i="2"/>
  <c r="A97" i="2"/>
  <c r="P96" i="2"/>
  <c r="O96" i="2"/>
  <c r="N96" i="2"/>
  <c r="M96" i="2"/>
  <c r="L96" i="2"/>
  <c r="K96" i="2"/>
  <c r="J96" i="2"/>
  <c r="C96" i="2"/>
  <c r="A96" i="2"/>
  <c r="P95" i="2"/>
  <c r="O95" i="2"/>
  <c r="N95" i="2"/>
  <c r="M95" i="2"/>
  <c r="L95" i="2"/>
  <c r="K95" i="2"/>
  <c r="J95" i="2"/>
  <c r="C95" i="2"/>
  <c r="A95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P93" i="2"/>
  <c r="O93" i="2"/>
  <c r="N93" i="2"/>
  <c r="M93" i="2"/>
  <c r="L93" i="2"/>
  <c r="K93" i="2"/>
  <c r="J93" i="2"/>
  <c r="C93" i="2"/>
  <c r="A93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P91" i="2"/>
  <c r="O91" i="2"/>
  <c r="N91" i="2"/>
  <c r="M91" i="2"/>
  <c r="L91" i="2"/>
  <c r="I91" i="2"/>
  <c r="H91" i="2"/>
  <c r="G91" i="2"/>
  <c r="F91" i="2"/>
  <c r="E91" i="2"/>
  <c r="D91" i="2"/>
  <c r="C91" i="2"/>
  <c r="B91" i="2"/>
  <c r="A91" i="2"/>
  <c r="P90" i="2"/>
  <c r="O90" i="2"/>
  <c r="N90" i="2"/>
  <c r="M90" i="2"/>
  <c r="L90" i="2"/>
  <c r="C90" i="2"/>
  <c r="P89" i="2"/>
  <c r="O89" i="2"/>
  <c r="N89" i="2"/>
  <c r="M89" i="2"/>
  <c r="L89" i="2"/>
  <c r="C89" i="2"/>
  <c r="P88" i="2"/>
  <c r="O88" i="2"/>
  <c r="N88" i="2"/>
  <c r="M88" i="2"/>
  <c r="L88" i="2"/>
  <c r="C88" i="2"/>
  <c r="P87" i="2"/>
  <c r="O87" i="2"/>
  <c r="N87" i="2"/>
  <c r="M87" i="2"/>
  <c r="L87" i="2"/>
  <c r="C87" i="2"/>
  <c r="B87" i="2"/>
  <c r="A87" i="2"/>
  <c r="P86" i="2"/>
  <c r="O86" i="2"/>
  <c r="N86" i="2"/>
  <c r="M86" i="2"/>
  <c r="L86" i="2"/>
  <c r="K86" i="2"/>
  <c r="J86" i="2"/>
  <c r="D86" i="2"/>
  <c r="C86" i="2"/>
  <c r="B86" i="2"/>
  <c r="A86" i="2"/>
  <c r="P85" i="2"/>
  <c r="O85" i="2"/>
  <c r="N85" i="2"/>
  <c r="M85" i="2"/>
  <c r="L85" i="2"/>
  <c r="K85" i="2"/>
  <c r="J85" i="2"/>
  <c r="D85" i="2"/>
  <c r="C85" i="2"/>
  <c r="B85" i="2"/>
  <c r="A85" i="2"/>
  <c r="P84" i="2"/>
  <c r="O84" i="2"/>
  <c r="N84" i="2"/>
  <c r="M84" i="2"/>
  <c r="L84" i="2"/>
  <c r="K84" i="2"/>
  <c r="J84" i="2"/>
  <c r="D84" i="2"/>
  <c r="C84" i="2"/>
  <c r="B84" i="2"/>
  <c r="A84" i="2"/>
  <c r="P83" i="2"/>
  <c r="O83" i="2"/>
  <c r="N83" i="2"/>
  <c r="M83" i="2"/>
  <c r="L83" i="2"/>
  <c r="K83" i="2"/>
  <c r="J83" i="2"/>
  <c r="D83" i="2"/>
  <c r="C83" i="2"/>
  <c r="B83" i="2"/>
  <c r="A83" i="2"/>
  <c r="Q82" i="2"/>
  <c r="P82" i="2"/>
  <c r="O82" i="2"/>
  <c r="N82" i="2"/>
  <c r="D82" i="2"/>
  <c r="C82" i="2"/>
  <c r="B82" i="2"/>
  <c r="A82" i="2"/>
  <c r="Q81" i="2"/>
  <c r="P81" i="2"/>
  <c r="O81" i="2"/>
  <c r="N81" i="2"/>
  <c r="D81" i="2"/>
  <c r="C81" i="2"/>
  <c r="B81" i="2"/>
  <c r="A81" i="2"/>
  <c r="Q80" i="2"/>
  <c r="P80" i="2"/>
  <c r="O80" i="2"/>
  <c r="N80" i="2"/>
  <c r="D80" i="2"/>
  <c r="C80" i="2"/>
  <c r="B80" i="2"/>
  <c r="A80" i="2"/>
  <c r="Q79" i="2"/>
  <c r="P79" i="2"/>
  <c r="O79" i="2"/>
  <c r="N79" i="2"/>
  <c r="D79" i="2"/>
  <c r="C79" i="2"/>
  <c r="B79" i="2"/>
  <c r="A79" i="2"/>
  <c r="Q78" i="2"/>
  <c r="P78" i="2"/>
  <c r="O78" i="2"/>
  <c r="N78" i="2"/>
  <c r="D78" i="2"/>
  <c r="C78" i="2"/>
  <c r="B78" i="2"/>
  <c r="A78" i="2"/>
  <c r="Q77" i="2"/>
  <c r="P77" i="2"/>
  <c r="O77" i="2"/>
  <c r="N77" i="2"/>
  <c r="D77" i="2"/>
  <c r="C77" i="2"/>
  <c r="B77" i="2"/>
  <c r="A77" i="2"/>
  <c r="Q76" i="2"/>
  <c r="P76" i="2"/>
  <c r="O76" i="2"/>
  <c r="N76" i="2"/>
  <c r="C76" i="2"/>
  <c r="B76" i="2"/>
  <c r="A76" i="2"/>
  <c r="Q75" i="2"/>
  <c r="P75" i="2"/>
  <c r="O75" i="2"/>
  <c r="N75" i="2"/>
  <c r="C75" i="2"/>
  <c r="B75" i="2"/>
  <c r="A75" i="2"/>
  <c r="Q74" i="2"/>
  <c r="P74" i="2"/>
  <c r="O74" i="2"/>
  <c r="N74" i="2"/>
  <c r="C74" i="2"/>
  <c r="B74" i="2"/>
  <c r="A74" i="2"/>
  <c r="Q73" i="2"/>
  <c r="P73" i="2"/>
  <c r="O73" i="2"/>
  <c r="N73" i="2"/>
  <c r="C73" i="2"/>
  <c r="B73" i="2"/>
  <c r="A73" i="2"/>
  <c r="Q72" i="2"/>
  <c r="P72" i="2"/>
  <c r="O72" i="2"/>
  <c r="N72" i="2"/>
  <c r="C72" i="2"/>
  <c r="B72" i="2"/>
  <c r="A72" i="2"/>
  <c r="Q71" i="2"/>
  <c r="P71" i="2"/>
  <c r="O71" i="2"/>
  <c r="N71" i="2"/>
  <c r="C71" i="2"/>
  <c r="B71" i="2"/>
  <c r="H71" i="2" s="1"/>
  <c r="A71" i="2"/>
  <c r="Q70" i="2"/>
  <c r="P70" i="2"/>
  <c r="O70" i="2"/>
  <c r="N70" i="2"/>
  <c r="C70" i="2"/>
  <c r="B70" i="2"/>
  <c r="I70" i="2" s="1"/>
  <c r="A70" i="2"/>
  <c r="Q69" i="2"/>
  <c r="P69" i="2"/>
  <c r="O69" i="2"/>
  <c r="N69" i="2"/>
  <c r="C69" i="2"/>
  <c r="B69" i="2"/>
  <c r="A69" i="2"/>
  <c r="Q68" i="2"/>
  <c r="P68" i="2"/>
  <c r="O68" i="2"/>
  <c r="N68" i="2"/>
  <c r="C68" i="2"/>
  <c r="B68" i="2"/>
  <c r="I68" i="2" s="1"/>
  <c r="A68" i="2"/>
  <c r="Q67" i="2"/>
  <c r="P67" i="2"/>
  <c r="O67" i="2"/>
  <c r="N67" i="2"/>
  <c r="C67" i="2"/>
  <c r="B67" i="2"/>
  <c r="A67" i="2"/>
  <c r="Q66" i="2"/>
  <c r="P66" i="2"/>
  <c r="O66" i="2"/>
  <c r="N66" i="2"/>
  <c r="C66" i="2"/>
  <c r="B66" i="2"/>
  <c r="A66" i="2"/>
  <c r="Q65" i="2"/>
  <c r="P65" i="2"/>
  <c r="O65" i="2"/>
  <c r="N65" i="2"/>
  <c r="C65" i="2"/>
  <c r="B65" i="2"/>
  <c r="A65" i="2"/>
  <c r="Q64" i="2"/>
  <c r="P64" i="2"/>
  <c r="O64" i="2"/>
  <c r="N64" i="2"/>
  <c r="C64" i="2"/>
  <c r="B64" i="2"/>
  <c r="A64" i="2"/>
  <c r="Q63" i="2"/>
  <c r="P63" i="2"/>
  <c r="O63" i="2"/>
  <c r="N63" i="2"/>
  <c r="C63" i="2"/>
  <c r="B63" i="2"/>
  <c r="H63" i="2" s="1"/>
  <c r="A63" i="2"/>
  <c r="Q62" i="2"/>
  <c r="P62" i="2"/>
  <c r="O62" i="2"/>
  <c r="N62" i="2"/>
  <c r="C62" i="2"/>
  <c r="B62" i="2"/>
  <c r="A62" i="2"/>
  <c r="Q61" i="2"/>
  <c r="P61" i="2"/>
  <c r="O61" i="2"/>
  <c r="N61" i="2"/>
  <c r="C61" i="2"/>
  <c r="B61" i="2"/>
  <c r="A61" i="2"/>
  <c r="Q60" i="2"/>
  <c r="P60" i="2"/>
  <c r="O60" i="2"/>
  <c r="N60" i="2"/>
  <c r="C60" i="2"/>
  <c r="B60" i="2"/>
  <c r="I60" i="2" s="1"/>
  <c r="A60" i="2"/>
  <c r="Q59" i="2"/>
  <c r="P59" i="2"/>
  <c r="O59" i="2"/>
  <c r="N59" i="2"/>
  <c r="C59" i="2"/>
  <c r="B59" i="2"/>
  <c r="A59" i="2"/>
  <c r="Q58" i="2"/>
  <c r="P58" i="2"/>
  <c r="O58" i="2"/>
  <c r="N58" i="2"/>
  <c r="C58" i="2"/>
  <c r="B58" i="2"/>
  <c r="A58" i="2"/>
  <c r="Q57" i="2"/>
  <c r="P57" i="2"/>
  <c r="O57" i="2"/>
  <c r="N57" i="2"/>
  <c r="C57" i="2"/>
  <c r="B57" i="2"/>
  <c r="A57" i="2"/>
  <c r="Q56" i="2"/>
  <c r="P56" i="2"/>
  <c r="O56" i="2"/>
  <c r="N56" i="2"/>
  <c r="C56" i="2"/>
  <c r="B56" i="2"/>
  <c r="A56" i="2"/>
  <c r="Q55" i="2"/>
  <c r="P55" i="2"/>
  <c r="O55" i="2"/>
  <c r="N55" i="2"/>
  <c r="D55" i="2"/>
  <c r="C55" i="2"/>
  <c r="B55" i="2"/>
  <c r="A55" i="2"/>
  <c r="Q54" i="2"/>
  <c r="P54" i="2"/>
  <c r="O54" i="2"/>
  <c r="N54" i="2"/>
  <c r="D54" i="2"/>
  <c r="C54" i="2"/>
  <c r="B54" i="2"/>
  <c r="A54" i="2"/>
  <c r="Q53" i="2"/>
  <c r="P53" i="2"/>
  <c r="O53" i="2"/>
  <c r="N53" i="2"/>
  <c r="D53" i="2"/>
  <c r="C53" i="2"/>
  <c r="B53" i="2"/>
  <c r="A53" i="2"/>
  <c r="Q52" i="2"/>
  <c r="P52" i="2"/>
  <c r="O52" i="2"/>
  <c r="N52" i="2"/>
  <c r="D52" i="2"/>
  <c r="C52" i="2"/>
  <c r="B52" i="2"/>
  <c r="A52" i="2"/>
  <c r="M31" i="1"/>
  <c r="O62" i="1" s="1"/>
  <c r="M28" i="1"/>
  <c r="L28" i="1"/>
  <c r="A90" i="2" s="1"/>
  <c r="M27" i="1"/>
  <c r="L27" i="1"/>
  <c r="A89" i="2" s="1"/>
  <c r="M26" i="1"/>
  <c r="L26" i="1"/>
  <c r="A88" i="2" s="1"/>
  <c r="O63" i="1" l="1"/>
  <c r="G60" i="2"/>
  <c r="F66" i="2"/>
  <c r="B93" i="2"/>
  <c r="F93" i="2" s="1"/>
  <c r="O28" i="1"/>
  <c r="F57" i="2"/>
  <c r="I63" i="2"/>
  <c r="G66" i="2"/>
  <c r="D67" i="2"/>
  <c r="E76" i="2"/>
  <c r="H68" i="2"/>
  <c r="D63" i="2"/>
  <c r="G68" i="2"/>
  <c r="E62" i="2"/>
  <c r="G62" i="2"/>
  <c r="I73" i="2"/>
  <c r="H75" i="2"/>
  <c r="I64" i="2"/>
  <c r="F72" i="2"/>
  <c r="H62" i="2"/>
  <c r="G64" i="2"/>
  <c r="H72" i="2"/>
  <c r="I72" i="2"/>
  <c r="D58" i="2"/>
  <c r="H60" i="2"/>
  <c r="D62" i="2"/>
  <c r="E68" i="2"/>
  <c r="F73" i="2"/>
  <c r="H64" i="2"/>
  <c r="E72" i="2"/>
  <c r="H58" i="2"/>
  <c r="D59" i="2"/>
  <c r="G72" i="2"/>
  <c r="E64" i="2"/>
  <c r="E60" i="2"/>
  <c r="F64" i="2"/>
  <c r="E58" i="2"/>
  <c r="I58" i="2"/>
  <c r="F58" i="2"/>
  <c r="G58" i="2"/>
  <c r="I57" i="2"/>
  <c r="I56" i="2"/>
  <c r="F56" i="2"/>
  <c r="G56" i="2"/>
  <c r="E56" i="2"/>
  <c r="H56" i="2"/>
  <c r="D66" i="2"/>
  <c r="H66" i="2"/>
  <c r="E66" i="2"/>
  <c r="I66" i="2"/>
  <c r="I65" i="2"/>
  <c r="F65" i="2"/>
  <c r="H74" i="2"/>
  <c r="F74" i="2"/>
  <c r="D75" i="2"/>
  <c r="D74" i="2"/>
  <c r="H76" i="2"/>
  <c r="E74" i="2"/>
  <c r="I74" i="2"/>
  <c r="G74" i="2"/>
  <c r="E75" i="2"/>
  <c r="F71" i="2"/>
  <c r="I71" i="2"/>
  <c r="D71" i="2"/>
  <c r="E70" i="2"/>
  <c r="G70" i="2"/>
  <c r="H70" i="2"/>
  <c r="D70" i="2"/>
  <c r="G61" i="2"/>
  <c r="I61" i="2"/>
  <c r="B88" i="2"/>
  <c r="F61" i="2"/>
  <c r="H61" i="2"/>
  <c r="E61" i="2"/>
  <c r="D61" i="2"/>
  <c r="G69" i="2"/>
  <c r="F69" i="2"/>
  <c r="I69" i="2"/>
  <c r="H69" i="2"/>
  <c r="E69" i="2"/>
  <c r="D69" i="2"/>
  <c r="O27" i="1"/>
  <c r="B90" i="2"/>
  <c r="D56" i="2"/>
  <c r="G63" i="2"/>
  <c r="D64" i="2"/>
  <c r="G71" i="2"/>
  <c r="D72" i="2"/>
  <c r="B89" i="2"/>
  <c r="H59" i="2"/>
  <c r="E67" i="2"/>
  <c r="H67" i="2"/>
  <c r="E59" i="2"/>
  <c r="O26" i="1"/>
  <c r="M33" i="1"/>
  <c r="M34" i="1" s="1"/>
  <c r="D57" i="2"/>
  <c r="F59" i="2"/>
  <c r="I59" i="2"/>
  <c r="D65" i="2"/>
  <c r="F67" i="2"/>
  <c r="I67" i="2"/>
  <c r="D73" i="2"/>
  <c r="F75" i="2"/>
  <c r="I75" i="2"/>
  <c r="E57" i="2"/>
  <c r="H57" i="2"/>
  <c r="G59" i="2"/>
  <c r="D60" i="2"/>
  <c r="F62" i="2"/>
  <c r="I62" i="2"/>
  <c r="E65" i="2"/>
  <c r="H65" i="2"/>
  <c r="G67" i="2"/>
  <c r="D68" i="2"/>
  <c r="F70" i="2"/>
  <c r="E73" i="2"/>
  <c r="H73" i="2"/>
  <c r="G75" i="2"/>
  <c r="D76" i="2"/>
  <c r="G57" i="2"/>
  <c r="F60" i="2"/>
  <c r="E63" i="2"/>
  <c r="G65" i="2"/>
  <c r="F68" i="2"/>
  <c r="E71" i="2"/>
  <c r="G73" i="2"/>
  <c r="F76" i="2"/>
  <c r="I76" i="2"/>
  <c r="G76" i="2"/>
  <c r="I93" i="2" l="1"/>
  <c r="E93" i="2"/>
  <c r="D93" i="2"/>
  <c r="H93" i="2"/>
  <c r="G93" i="2"/>
  <c r="E90" i="2"/>
  <c r="I90" i="2"/>
  <c r="E88" i="2"/>
  <c r="I89" i="2"/>
  <c r="B95" i="2"/>
  <c r="B96" i="2" s="1"/>
  <c r="F88" i="2"/>
  <c r="H90" i="2"/>
  <c r="F89" i="2"/>
  <c r="H88" i="2"/>
  <c r="H89" i="2"/>
  <c r="E89" i="2"/>
  <c r="G90" i="2"/>
  <c r="G88" i="2"/>
  <c r="I88" i="2"/>
  <c r="G89" i="2"/>
  <c r="F90" i="2"/>
  <c r="D90" i="2"/>
  <c r="D88" i="2"/>
  <c r="D89" i="2"/>
  <c r="E95" i="2" l="1"/>
  <c r="E96" i="2" s="1"/>
  <c r="E98" i="2" s="1"/>
  <c r="I95" i="2"/>
  <c r="I96" i="2" s="1"/>
  <c r="I98" i="2" s="1"/>
  <c r="H95" i="2"/>
  <c r="H96" i="2" s="1"/>
  <c r="H98" i="2" s="1"/>
  <c r="D95" i="2"/>
  <c r="D96" i="2" s="1"/>
  <c r="D98" i="2" s="1"/>
  <c r="G95" i="2"/>
  <c r="G96" i="2" s="1"/>
  <c r="G98" i="2" s="1"/>
  <c r="F95" i="2"/>
  <c r="F96" i="2" s="1"/>
  <c r="F98" i="2" s="1"/>
</calcChain>
</file>

<file path=xl/sharedStrings.xml><?xml version="1.0" encoding="utf-8"?>
<sst xmlns="http://schemas.openxmlformats.org/spreadsheetml/2006/main" count="100" uniqueCount="49">
  <si>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</si>
  <si>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</si>
  <si>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</si>
  <si>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</si>
  <si>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</si>
  <si>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</si>
  <si>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</si>
  <si>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</si>
  <si>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</si>
  <si>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</si>
  <si>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</si>
  <si>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</si>
  <si>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</si>
  <si>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Off</t>
  </si>
  <si>
    <t>Total power in profile (mw)</t>
  </si>
  <si>
    <t xml:space="preserve">Maximum Time </t>
  </si>
  <si>
    <t>Standby Power</t>
  </si>
  <si>
    <t>hours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</si>
  <si>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</si>
  <si>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</si>
  <si>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</si>
  <si>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</si>
  <si>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</si>
  <si>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</si>
  <si>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</si>
  <si>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</si>
  <si>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</si>
  <si>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</si>
  <si>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</si>
  <si>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</si>
  <si>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</si>
  <si>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</si>
  <si>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</si>
  <si>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</si>
  <si>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</si>
  <si>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</si>
  <si>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</si>
  <si>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</si>
  <si>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x27 168 stepper motor</t>
  </si>
  <si>
    <t>Motor On</t>
  </si>
  <si>
    <t>Motor Standby</t>
  </si>
  <si>
    <t>Measured</t>
  </si>
  <si>
    <t>https://www.ti.com/lit/ds/symlink/ads1113.pdf?HQS=dis-dk-null-digikeymode-dsf-pf-null-wwe&amp;ts=1770596877360&amp;ref_url=https%253A%252F%252Fwww.ti.com%252Fgeneral%252Fdocs%252Fsuppproductinfo.tsp%253FdistId%253D10%2526gotoUrl%253Dhttps%253A%252F%252Fwww.ti.com%252Flit%252Fgpn%252Fads1113</t>
  </si>
  <si>
    <t>Sensor+ADC</t>
  </si>
  <si>
    <t>https://cdn-shop.adafruit.com/product-files/1655/SKC6812RV__12VOP0274E_REV.A1_EN%2812%29.pdf</t>
  </si>
  <si>
    <t>The main trade-offs are longer battery life usually means lower brightness, fewer/shorter motor movements, and more time in sleep, while a bigger battery increases size, weight, cost, and charging time. If I want a better user experience without a huge battery, the best wins are limiting LED brightness, using motor “on” time only when needed, and aggressively duty-cycling the ESP32.</t>
  </si>
  <si>
    <t>1.According to the using scenario of my device.</t>
  </si>
  <si>
    <t>3.After running the numbers, I learned that my battery life is dominated by the high-power bursts, not the tiny always on loads. The ESP32 in active mode and the stepper/LEDs during interaction eat power fast, while deep sleep and the ADS1115 are basically rounding errors by comparison.</t>
  </si>
  <si>
    <t>2.1 1000mAh 4.8V and a 150mAh 3.7V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</si>
</sst>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  <xf numFmtId="0" fontId="4" fillId="0" borderId="4" xfId="0" applyFont="1" applyBorder="1"/>
    <xf numFmtId="0" fontId="5" fillId="0" borderId="4" xfId="0" applyFont="1" applyBorder="1"/>
    <xf numFmtId="1" fontId="1" fillId="5" borderId="0" xfId="0" applyNumberFormat="1" applyFont="1" applyFill="1"/>
    <xf numFmtId="0" fontId="6" fillId="6" borderId="0" xfId="0" applyFont="1" applyFill="1"/>
    <xf numFmtId="0" fontId="4" fillId="0" borderId="0" xfId="0" applyFont="1"/>
    <xf numFmtId="0" fontId="6" fillId="0" borderId="0" xfId="0" applyFont="1"/>
    <xf numFmtId="164" fontId="1" fillId="0" borderId="0" xfId="0" applyNumberFormat="1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Analysis'!$D$99:$I$99</c:f>
              <c:strCache>
                <c:ptCount val="6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Motor On</c:v>
                </c:pt>
                <c:pt idx="5">
                  <c:v>Motor Standby</c:v>
                </c:pt>
              </c:strCache>
            </c:strRef>
          </c:cat>
          <c:val>
            <c:numRef>
              <c:f>'Sensitivity Analysis'!$D$98:$I$98</c:f>
              <c:numCache>
                <c:formatCode>0.00%</c:formatCode>
                <c:ptCount val="6"/>
                <c:pt idx="0">
                  <c:v>1.2322199530882649E-2</c:v>
                </c:pt>
                <c:pt idx="1">
                  <c:v>4.879323361994814E-5</c:v>
                </c:pt>
                <c:pt idx="2">
                  <c:v>4.267122196064399E-4</c:v>
                </c:pt>
                <c:pt idx="3">
                  <c:v>4.4509258287587672E-2</c:v>
                </c:pt>
                <c:pt idx="4">
                  <c:v>4.479071190969619E-2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7-4B47-A42E-FBEC6024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414735"/>
        <c:axId val="2105483082"/>
      </c:barChart>
      <c:catAx>
        <c:axId val="35241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483082"/>
        <c:crosses val="autoZero"/>
        <c:auto val="0"/>
        <c:lblAlgn val="ctr"/>
        <c:lblOffset val="100"/>
        <c:noMultiLvlLbl val="1"/>
      </c:catAx>
      <c:valAx>
        <c:axId val="2105483082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352414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'[1]Sensitivity Analysis'!$D$99:$I$99</c:f>
              <c:strCache>
                <c:ptCount val="6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SensorOn</c:v>
                </c:pt>
                <c:pt idx="4">
                  <c:v>SensorIdle</c:v>
                </c:pt>
                <c:pt idx="5">
                  <c:v>SensorOff</c:v>
                </c:pt>
              </c:strCache>
            </c:strRef>
          </c:cat>
          <c:val>
            <c:numRef>
              <c:f>'[1]Sensitivity Analysis'!$D$98:$I$98</c:f>
              <c:numCache>
                <c:formatCode>General</c:formatCode>
                <c:ptCount val="6"/>
                <c:pt idx="0">
                  <c:v>9.5034106623030468E-2</c:v>
                </c:pt>
                <c:pt idx="1">
                  <c:v>3.0355584236030353E-4</c:v>
                </c:pt>
                <c:pt idx="2">
                  <c:v>1.2327818391688838E-2</c:v>
                </c:pt>
                <c:pt idx="3">
                  <c:v>7.1158074908117541E-4</c:v>
                </c:pt>
                <c:pt idx="4">
                  <c:v>0</c:v>
                </c:pt>
                <c:pt idx="5">
                  <c:v>2.133269793347381E-5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B-704C-B5D8-D38936F11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414735"/>
        <c:axId val="2105483082"/>
      </c:barChart>
      <c:catAx>
        <c:axId val="35241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483082"/>
        <c:crosses val="autoZero"/>
        <c:auto val="0"/>
        <c:lblAlgn val="ctr"/>
        <c:lblOffset val="100"/>
        <c:noMultiLvlLbl val="1"/>
      </c:catAx>
      <c:valAx>
        <c:axId val="210548308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52414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Analysis'!$D$99:$I$99</c:f>
              <c:strCache>
                <c:ptCount val="6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Motor On</c:v>
                </c:pt>
                <c:pt idx="5">
                  <c:v>Motor Standby</c:v>
                </c:pt>
              </c:strCache>
            </c:strRef>
          </c:cat>
          <c:val>
            <c:numRef>
              <c:f>'Sensitivity Analysis'!$D$98:$I$98</c:f>
              <c:numCache>
                <c:formatCode>0.00%</c:formatCode>
                <c:ptCount val="6"/>
                <c:pt idx="0">
                  <c:v>1.2322199530882649E-2</c:v>
                </c:pt>
                <c:pt idx="1">
                  <c:v>4.879323361994814E-5</c:v>
                </c:pt>
                <c:pt idx="2">
                  <c:v>4.267122196064399E-4</c:v>
                </c:pt>
                <c:pt idx="3">
                  <c:v>4.4509258287587672E-2</c:v>
                </c:pt>
                <c:pt idx="4">
                  <c:v>4.479071190969619E-2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1-8646-A08B-601BEDC4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65248"/>
        <c:axId val="1518209258"/>
      </c:barChart>
      <c:catAx>
        <c:axId val="7746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8209258"/>
        <c:crosses val="autoZero"/>
        <c:auto val="1"/>
        <c:lblAlgn val="ctr"/>
        <c:lblOffset val="100"/>
        <c:noMultiLvlLbl val="1"/>
      </c:catAx>
      <c:valAx>
        <c:axId val="1518209258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774652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898173</xdr:colOff>
      <xdr:row>5</xdr:row>
      <xdr:rowOff>165805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902951" y="1153583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35</xdr:row>
      <xdr:rowOff>180975</xdr:rowOff>
    </xdr:from>
    <xdr:ext cx="6743700" cy="417195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6D1B4E44-5410-DF4C-A064-D5F218823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361950</xdr:colOff>
      <xdr:row>42</xdr:row>
      <xdr:rowOff>95250</xdr:rowOff>
    </xdr:from>
    <xdr:ext cx="3086100" cy="6381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E989406-727B-E940-B584-0FBEEEF79C2E}"/>
            </a:ext>
          </a:extLst>
        </xdr:cNvPr>
        <xdr:cNvSpPr txBox="1"/>
      </xdr:nvSpPr>
      <xdr:spPr>
        <a:xfrm>
          <a:off x="12350750" y="1428750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yx/Documents/TECHIN514A-Wi26/FinalProject/%22Simple%22%20Power%20Model%20for%20TECHIN514.xlsx" TargetMode="External"/><Relationship Id="rId1" Type="http://schemas.openxmlformats.org/officeDocument/2006/relationships/externalLinkPath" Target="/Users/dyx/Documents/TECHIN514A-Wi26/FinalProject/%22Simple%22%20Power%20Model%20for%20TECHIN5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 Parameters"/>
      <sheetName val="Sensitivity Analysis"/>
    </sheetNames>
    <sheetDataSet>
      <sheetData sheetId="0"/>
      <sheetData sheetId="1">
        <row r="98">
          <cell r="D98">
            <v>9.5034106623030468E-2</v>
          </cell>
          <cell r="E98">
            <v>3.0355584236030353E-4</v>
          </cell>
          <cell r="F98">
            <v>1.2327818391688838E-2</v>
          </cell>
          <cell r="G98">
            <v>7.1158074908117541E-4</v>
          </cell>
          <cell r="H98">
            <v>0</v>
          </cell>
          <cell r="I98">
            <v>2.133269793347381E-5</v>
          </cell>
        </row>
        <row r="99">
          <cell r="D99" t="str">
            <v>ProcessorActive</v>
          </cell>
          <cell r="E99" t="str">
            <v>ProcessorIdle</v>
          </cell>
          <cell r="F99" t="str">
            <v>ProcessorOff</v>
          </cell>
          <cell r="G99" t="str">
            <v>SensorOn</v>
          </cell>
          <cell r="H99" t="str">
            <v>SensorIdle</v>
          </cell>
          <cell r="I99" t="str">
            <v>SensorOff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i.com/lit/ds/symlink/ads1113.pdf?HQS=dis-dk-null-digikeymode-dsf-pf-null-wwe&amp;ts=1770596877360&amp;ref_url=https%253A%252F%252Fwww.ti.com%252Fgeneral%252Fdocs%252Fsuppproductinfo.tsp%253FdistId%253D10%2526gotoUrl%253Dhttps%253A%252F%252Fwww.ti.com%252Flit%252Fgpn%252Fads11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77"/>
  <sheetViews>
    <sheetView tabSelected="1" zoomScale="90" zoomScaleNormal="90" workbookViewId="0">
      <selection activeCell="D82" sqref="D82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9" ht="15.75" customHeight="1" x14ac:dyDescent="0.15">
      <c r="A2" s="1"/>
      <c r="B2" s="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8" t="s">
        <v>2</v>
      </c>
      <c r="I4" s="6"/>
    </row>
    <row r="5" spans="1:9" ht="15.75" customHeight="1" x14ac:dyDescent="0.15">
      <c r="A5" s="7"/>
      <c r="E5" s="9" t="s">
        <v>3</v>
      </c>
      <c r="F5" s="9" t="s">
        <v>4</v>
      </c>
      <c r="G5" s="9" t="s">
        <v>5</v>
      </c>
      <c r="I5" s="6"/>
    </row>
    <row r="6" spans="1:9" ht="15.75" customHeight="1" x14ac:dyDescent="0.15">
      <c r="A6" s="4" t="s">
        <v>6</v>
      </c>
      <c r="H6" s="30" t="s">
        <v>41</v>
      </c>
      <c r="I6" s="6"/>
    </row>
    <row r="7" spans="1:9" ht="15.75" customHeight="1" x14ac:dyDescent="0.15">
      <c r="A7" s="7" t="s">
        <v>7</v>
      </c>
      <c r="B7" s="10">
        <v>154.25</v>
      </c>
      <c r="C7" s="9" t="s">
        <v>8</v>
      </c>
      <c r="E7" s="11">
        <v>0</v>
      </c>
      <c r="F7" s="12">
        <v>0.02</v>
      </c>
      <c r="G7" s="11">
        <v>0.8</v>
      </c>
      <c r="I7" s="6"/>
    </row>
    <row r="8" spans="1:9" ht="15.75" customHeight="1" x14ac:dyDescent="0.15">
      <c r="A8" s="7" t="s">
        <v>9</v>
      </c>
      <c r="B8" s="13">
        <v>2.5350000000000001</v>
      </c>
      <c r="C8" s="9" t="s">
        <v>8</v>
      </c>
      <c r="E8" s="11">
        <v>0</v>
      </c>
      <c r="F8" s="12">
        <v>0</v>
      </c>
      <c r="G8" s="11">
        <v>0.2</v>
      </c>
      <c r="I8" s="6"/>
    </row>
    <row r="9" spans="1:9" ht="15.75" customHeight="1" x14ac:dyDescent="0.15">
      <c r="A9" s="7" t="s">
        <v>10</v>
      </c>
      <c r="B9" s="27">
        <v>0.89</v>
      </c>
      <c r="C9" s="9" t="s">
        <v>8</v>
      </c>
      <c r="E9" s="11">
        <v>1</v>
      </c>
      <c r="F9" s="11">
        <v>0.98</v>
      </c>
      <c r="G9" s="11">
        <v>0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11</v>
      </c>
      <c r="H11" t="s">
        <v>44</v>
      </c>
      <c r="I11" s="6"/>
    </row>
    <row r="12" spans="1:9" ht="15.75" customHeight="1" x14ac:dyDescent="0.15">
      <c r="A12" s="7" t="s">
        <v>12</v>
      </c>
      <c r="B12" s="13">
        <v>540</v>
      </c>
      <c r="C12" s="9" t="s">
        <v>8</v>
      </c>
      <c r="E12" s="11">
        <v>0</v>
      </c>
      <c r="F12" s="11">
        <v>0.02</v>
      </c>
      <c r="G12" s="11">
        <v>0.8</v>
      </c>
      <c r="I12" s="6"/>
    </row>
    <row r="13" spans="1:9" ht="15.75" customHeight="1" x14ac:dyDescent="0.15">
      <c r="A13" s="26" t="s">
        <v>13</v>
      </c>
      <c r="B13" s="13">
        <v>3.75</v>
      </c>
      <c r="C13" s="9" t="s">
        <v>8</v>
      </c>
      <c r="E13" s="11">
        <v>1</v>
      </c>
      <c r="F13" s="11">
        <v>0.98</v>
      </c>
      <c r="G13" s="11">
        <v>0.2</v>
      </c>
      <c r="I13" s="6"/>
    </row>
    <row r="14" spans="1:9" ht="15.75" customHeight="1" x14ac:dyDescent="0.15">
      <c r="A14" s="7"/>
      <c r="B14" s="14"/>
      <c r="I14" s="6"/>
    </row>
    <row r="15" spans="1:9" ht="15.75" customHeight="1" x14ac:dyDescent="0.15">
      <c r="A15" s="29"/>
      <c r="B15" s="14"/>
      <c r="I15" s="6"/>
    </row>
    <row r="16" spans="1:9" ht="15.75" customHeight="1" x14ac:dyDescent="0.15">
      <c r="A16" s="9"/>
      <c r="B16" s="30"/>
      <c r="C16" s="9"/>
      <c r="E16" s="23"/>
      <c r="F16" s="23"/>
      <c r="G16" s="23"/>
      <c r="I16" s="6"/>
    </row>
    <row r="17" spans="1:17" ht="15.75" customHeight="1" x14ac:dyDescent="0.15">
      <c r="A17" s="9"/>
      <c r="B17" s="30"/>
      <c r="C17" s="9"/>
      <c r="E17" s="23"/>
      <c r="F17" s="23"/>
      <c r="G17" s="23"/>
      <c r="I17" s="6"/>
    </row>
    <row r="18" spans="1:17" ht="15.75" customHeight="1" x14ac:dyDescent="0.15">
      <c r="A18" s="9"/>
      <c r="B18" s="30"/>
      <c r="C18" s="9"/>
      <c r="E18" s="23"/>
      <c r="F18" s="23"/>
      <c r="G18" s="23"/>
      <c r="I18" s="6"/>
    </row>
    <row r="19" spans="1:17" ht="15.75" customHeight="1" x14ac:dyDescent="0.15">
      <c r="A19" s="7"/>
      <c r="B19" s="14"/>
      <c r="I19" s="6"/>
    </row>
    <row r="20" spans="1:17" ht="15.75" customHeight="1" x14ac:dyDescent="0.15">
      <c r="A20" s="5"/>
      <c r="B20" s="14"/>
      <c r="I20" s="6"/>
    </row>
    <row r="21" spans="1:17" ht="15.75" customHeight="1" x14ac:dyDescent="0.15">
      <c r="A21" s="9"/>
      <c r="B21" s="14"/>
      <c r="C21" s="9"/>
      <c r="E21" s="23"/>
      <c r="F21" s="23"/>
      <c r="G21" s="23"/>
      <c r="I21" s="6"/>
    </row>
    <row r="22" spans="1:17" ht="15.75" customHeight="1" x14ac:dyDescent="0.15">
      <c r="A22" s="9"/>
      <c r="B22" s="14"/>
      <c r="C22" s="9"/>
      <c r="E22" s="23"/>
      <c r="F22" s="23"/>
      <c r="G22" s="23"/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25" t="s">
        <v>38</v>
      </c>
      <c r="H24" s="30" t="s">
        <v>41</v>
      </c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26" t="s">
        <v>12</v>
      </c>
      <c r="B25" s="15">
        <v>155</v>
      </c>
      <c r="C25" s="9" t="s">
        <v>8</v>
      </c>
      <c r="E25" s="11">
        <v>0</v>
      </c>
      <c r="F25" s="11">
        <v>0.02</v>
      </c>
      <c r="G25" s="11">
        <v>0.8</v>
      </c>
      <c r="I25" s="6"/>
      <c r="K25" s="7"/>
      <c r="L25" s="16" t="s">
        <v>14</v>
      </c>
      <c r="M25" s="16"/>
      <c r="N25" s="16"/>
      <c r="O25" s="16" t="s">
        <v>15</v>
      </c>
      <c r="P25" s="16"/>
      <c r="Q25" s="6"/>
    </row>
    <row r="26" spans="1:17" ht="15.75" customHeight="1" x14ac:dyDescent="0.15">
      <c r="A26" s="7" t="s">
        <v>16</v>
      </c>
      <c r="B26" s="15">
        <v>86</v>
      </c>
      <c r="C26" s="9" t="s">
        <v>8</v>
      </c>
      <c r="E26" s="11">
        <v>1</v>
      </c>
      <c r="F26" s="11">
        <v>0.98</v>
      </c>
      <c r="G26" s="11">
        <v>0.2</v>
      </c>
      <c r="I26" s="6"/>
      <c r="K26" s="7"/>
      <c r="L26" s="16" t="str">
        <f>E5</f>
        <v>"off"</v>
      </c>
      <c r="M26" s="16">
        <f>SUMPRODUCT(B7:B28, E7:E28)</f>
        <v>90.64</v>
      </c>
      <c r="N26" s="16" t="s">
        <v>8</v>
      </c>
      <c r="O26" s="17">
        <f t="shared" ref="O26:O28" si="0">$M$31/M26</f>
        <v>52.427184466019419</v>
      </c>
      <c r="P26" s="16" t="s">
        <v>17</v>
      </c>
      <c r="Q26" s="6"/>
    </row>
    <row r="27" spans="1:17" ht="15.75" customHeight="1" x14ac:dyDescent="0.15">
      <c r="A27" s="7"/>
      <c r="B27" s="9"/>
      <c r="C27" s="9"/>
      <c r="E27" s="23"/>
      <c r="F27" s="23"/>
      <c r="G27" s="23"/>
      <c r="I27" s="6"/>
      <c r="K27" s="7"/>
      <c r="L27" s="16" t="str">
        <f>F5</f>
        <v>"sensing"</v>
      </c>
      <c r="M27" s="16">
        <f>SUMPRODUCT(B7:B28, F7:F28)</f>
        <v>105.8122</v>
      </c>
      <c r="N27" s="16" t="s">
        <v>8</v>
      </c>
      <c r="O27" s="17">
        <f t="shared" si="0"/>
        <v>44.909755207811571</v>
      </c>
      <c r="P27" s="16" t="s">
        <v>17</v>
      </c>
      <c r="Q27" s="6"/>
    </row>
    <row r="28" spans="1:17" ht="15.75" customHeight="1" x14ac:dyDescent="0.15">
      <c r="A28" s="7"/>
      <c r="B28" s="9"/>
      <c r="C28" s="9"/>
      <c r="E28" s="23"/>
      <c r="F28" s="23"/>
      <c r="G28" s="23"/>
      <c r="I28" s="6"/>
      <c r="K28" s="7"/>
      <c r="L28" s="16" t="str">
        <f>G5</f>
        <v>"interactive"</v>
      </c>
      <c r="M28" s="16">
        <f>SUMPRODUCT(B7:B28, G7:G28)</f>
        <v>697.85700000000008</v>
      </c>
      <c r="N28" s="16" t="s">
        <v>8</v>
      </c>
      <c r="O28" s="17">
        <f t="shared" si="0"/>
        <v>6.809417975315859</v>
      </c>
      <c r="P28" s="16" t="s">
        <v>17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5">
        <v>16</v>
      </c>
      <c r="F30" s="15">
        <v>4</v>
      </c>
      <c r="G30" s="15">
        <v>4</v>
      </c>
      <c r="H30" s="9" t="s">
        <v>18</v>
      </c>
      <c r="I30" s="6"/>
      <c r="K30" s="7"/>
      <c r="L30" s="9" t="s">
        <v>19</v>
      </c>
      <c r="Q30" s="6"/>
    </row>
    <row r="31" spans="1:17" ht="15.75" customHeight="1" x14ac:dyDescent="0.15">
      <c r="A31" s="4" t="s">
        <v>20</v>
      </c>
      <c r="I31" s="6"/>
      <c r="K31" s="7"/>
      <c r="M31" s="9">
        <f>B32*B33*B34</f>
        <v>4752</v>
      </c>
      <c r="N31" s="9" t="s">
        <v>21</v>
      </c>
      <c r="Q31" s="6"/>
    </row>
    <row r="32" spans="1:17" ht="15.75" customHeight="1" x14ac:dyDescent="0.15">
      <c r="A32" s="7" t="s">
        <v>22</v>
      </c>
      <c r="B32" s="13">
        <v>1000</v>
      </c>
      <c r="C32" s="9" t="s">
        <v>23</v>
      </c>
      <c r="I32" s="6"/>
      <c r="K32" s="7"/>
      <c r="Q32" s="6"/>
    </row>
    <row r="33" spans="1:17" ht="15.75" customHeight="1" x14ac:dyDescent="0.15">
      <c r="A33" s="7" t="s">
        <v>24</v>
      </c>
      <c r="B33" s="13">
        <v>4.8</v>
      </c>
      <c r="C33" s="9" t="s">
        <v>25</v>
      </c>
      <c r="I33" s="6"/>
      <c r="K33" s="7"/>
      <c r="L33" s="18" t="s">
        <v>26</v>
      </c>
      <c r="M33" s="19">
        <f>M31/(E30*M26+F30*M27+G30*M28)</f>
        <v>1.0186676855630092</v>
      </c>
      <c r="N33" s="18" t="s">
        <v>27</v>
      </c>
      <c r="Q33" s="6"/>
    </row>
    <row r="34" spans="1:17" ht="15.75" customHeight="1" x14ac:dyDescent="0.15">
      <c r="A34" s="7" t="s">
        <v>28</v>
      </c>
      <c r="B34" s="11">
        <v>0.99</v>
      </c>
      <c r="I34" s="6"/>
      <c r="K34" s="7"/>
      <c r="L34" s="18" t="s">
        <v>29</v>
      </c>
      <c r="M34" s="19">
        <f>M33*24</f>
        <v>24.448024453512222</v>
      </c>
      <c r="N34" s="18" t="s">
        <v>17</v>
      </c>
      <c r="Q34" s="6"/>
    </row>
    <row r="35" spans="1:17" ht="15.75" customHeight="1" x14ac:dyDescent="0.15">
      <c r="A35" s="20"/>
      <c r="B35" s="21"/>
      <c r="C35" s="21"/>
      <c r="D35" s="21"/>
      <c r="E35" s="21"/>
      <c r="F35" s="21"/>
      <c r="G35" s="21"/>
      <c r="H35" s="21"/>
      <c r="I35" s="22"/>
      <c r="K35" s="20"/>
      <c r="L35" s="21"/>
      <c r="M35" s="21"/>
      <c r="N35" s="21"/>
      <c r="O35" s="21"/>
      <c r="P35" s="21"/>
      <c r="Q35" s="22"/>
    </row>
    <row r="37" spans="1:17" ht="15.75" customHeight="1" x14ac:dyDescent="0.15">
      <c r="A37" s="1"/>
      <c r="B37" s="2"/>
      <c r="C37" s="2"/>
      <c r="D37" s="2"/>
      <c r="E37" s="2"/>
      <c r="F37" s="2"/>
      <c r="G37" s="2"/>
      <c r="H37" s="2"/>
      <c r="I37" s="3"/>
    </row>
    <row r="38" spans="1:17" ht="15.75" customHeight="1" x14ac:dyDescent="0.15">
      <c r="A38" s="4" t="s">
        <v>0</v>
      </c>
      <c r="E38" s="5" t="s">
        <v>1</v>
      </c>
      <c r="I38" s="6"/>
    </row>
    <row r="39" spans="1:17" ht="15.75" customHeight="1" x14ac:dyDescent="0.15">
      <c r="A39" s="7"/>
      <c r="B39" s="8" t="s">
        <v>2</v>
      </c>
      <c r="I39" s="6"/>
    </row>
    <row r="40" spans="1:17" ht="15.75" customHeight="1" x14ac:dyDescent="0.15">
      <c r="A40" s="7"/>
      <c r="E40" s="9" t="s">
        <v>3</v>
      </c>
      <c r="F40" s="9" t="s">
        <v>4</v>
      </c>
      <c r="G40" s="9" t="s">
        <v>5</v>
      </c>
      <c r="I40" s="6"/>
    </row>
    <row r="41" spans="1:17" ht="15.75" customHeight="1" x14ac:dyDescent="0.15">
      <c r="A41" s="4" t="s">
        <v>6</v>
      </c>
      <c r="H41" s="30" t="s">
        <v>41</v>
      </c>
      <c r="I41" s="6"/>
    </row>
    <row r="42" spans="1:17" ht="15.75" customHeight="1" x14ac:dyDescent="0.15">
      <c r="A42" s="7" t="s">
        <v>7</v>
      </c>
      <c r="B42" s="10">
        <v>154.25</v>
      </c>
      <c r="C42" s="9" t="s">
        <v>8</v>
      </c>
      <c r="E42" s="11">
        <v>0</v>
      </c>
      <c r="F42" s="12">
        <v>0.02</v>
      </c>
      <c r="G42" s="11">
        <v>0.8</v>
      </c>
      <c r="I42" s="6"/>
    </row>
    <row r="43" spans="1:17" ht="15.75" customHeight="1" x14ac:dyDescent="0.15">
      <c r="A43" s="7" t="s">
        <v>9</v>
      </c>
      <c r="B43" s="13">
        <v>2.5350000000000001</v>
      </c>
      <c r="C43" s="9" t="s">
        <v>8</v>
      </c>
      <c r="E43" s="11">
        <v>0</v>
      </c>
      <c r="F43" s="12">
        <v>0</v>
      </c>
      <c r="G43" s="11">
        <v>0.2</v>
      </c>
      <c r="I43" s="6"/>
    </row>
    <row r="44" spans="1:17" ht="15.75" customHeight="1" x14ac:dyDescent="0.15">
      <c r="A44" s="7" t="s">
        <v>10</v>
      </c>
      <c r="B44" s="27">
        <v>0.89</v>
      </c>
      <c r="C44" s="9" t="s">
        <v>8</v>
      </c>
      <c r="E44" s="11">
        <v>1</v>
      </c>
      <c r="F44" s="11">
        <v>0.98</v>
      </c>
      <c r="G44" s="11">
        <v>0</v>
      </c>
      <c r="I44" s="6"/>
    </row>
    <row r="45" spans="1:17" ht="15.75" customHeight="1" x14ac:dyDescent="0.15">
      <c r="A45" s="7"/>
      <c r="I45" s="6"/>
    </row>
    <row r="46" spans="1:17" ht="15.75" customHeight="1" x14ac:dyDescent="0.15">
      <c r="A46" s="5"/>
      <c r="I46" s="9"/>
    </row>
    <row r="47" spans="1:17" ht="15.75" customHeight="1" x14ac:dyDescent="0.15">
      <c r="A47" s="9"/>
      <c r="B47" s="14"/>
      <c r="C47" s="9"/>
      <c r="E47" s="23"/>
      <c r="F47" s="23"/>
      <c r="G47" s="23"/>
      <c r="I47" s="9"/>
    </row>
    <row r="48" spans="1:17" ht="15.75" customHeight="1" x14ac:dyDescent="0.15">
      <c r="A48" s="7"/>
      <c r="B48" s="14"/>
      <c r="I48" s="6"/>
    </row>
    <row r="49" spans="1:17" ht="15.75" customHeight="1" x14ac:dyDescent="0.15">
      <c r="A49" s="7"/>
      <c r="B49" s="14"/>
      <c r="I49" s="6"/>
    </row>
    <row r="50" spans="1:17" ht="15.75" customHeight="1" x14ac:dyDescent="0.15">
      <c r="A50" s="4" t="s">
        <v>43</v>
      </c>
      <c r="B50" s="14"/>
      <c r="H50" s="32" t="s">
        <v>42</v>
      </c>
      <c r="I50" s="6"/>
    </row>
    <row r="51" spans="1:17" ht="15.75" customHeight="1" x14ac:dyDescent="0.15">
      <c r="A51" s="7" t="s">
        <v>12</v>
      </c>
      <c r="B51" s="28">
        <v>0.495</v>
      </c>
      <c r="C51" s="9" t="s">
        <v>8</v>
      </c>
      <c r="E51" s="11">
        <v>0</v>
      </c>
      <c r="F51" s="12">
        <v>0.2</v>
      </c>
      <c r="G51" s="11">
        <v>1</v>
      </c>
      <c r="I51" s="6"/>
    </row>
    <row r="52" spans="1:17" ht="15.75" customHeight="1" x14ac:dyDescent="0.15">
      <c r="A52" s="7" t="s">
        <v>9</v>
      </c>
      <c r="B52" s="28">
        <v>1.65E-3</v>
      </c>
      <c r="C52" s="9" t="s">
        <v>8</v>
      </c>
      <c r="E52" s="11">
        <v>0</v>
      </c>
      <c r="F52" s="12">
        <v>0</v>
      </c>
      <c r="G52" s="11">
        <v>0</v>
      </c>
      <c r="I52" s="6"/>
    </row>
    <row r="53" spans="1:17" ht="15.75" customHeight="1" x14ac:dyDescent="0.15">
      <c r="A53" s="7" t="s">
        <v>13</v>
      </c>
      <c r="B53" s="28">
        <v>1.65E-3</v>
      </c>
      <c r="C53" s="9" t="s">
        <v>8</v>
      </c>
      <c r="E53" s="11">
        <v>1</v>
      </c>
      <c r="F53" s="11">
        <v>0.8</v>
      </c>
      <c r="G53" s="11">
        <v>0</v>
      </c>
      <c r="I53" s="6"/>
    </row>
    <row r="54" spans="1:17" ht="15.75" customHeight="1" x14ac:dyDescent="0.15">
      <c r="A54" s="7"/>
      <c r="B54" s="14"/>
      <c r="I54" s="6"/>
    </row>
    <row r="55" spans="1:17" ht="15.75" customHeight="1" x14ac:dyDescent="0.15">
      <c r="A55" s="5"/>
      <c r="B55" s="14"/>
      <c r="I55" s="9"/>
    </row>
    <row r="56" spans="1:17" ht="15.75" customHeight="1" x14ac:dyDescent="0.15">
      <c r="A56" s="9"/>
      <c r="B56" s="14"/>
      <c r="C56" s="9"/>
      <c r="E56" s="23"/>
      <c r="F56" s="23"/>
      <c r="G56" s="23"/>
      <c r="I56" s="9"/>
    </row>
    <row r="57" spans="1:17" ht="15.75" customHeight="1" x14ac:dyDescent="0.15">
      <c r="A57" s="9"/>
      <c r="B57" s="14"/>
      <c r="C57" s="9"/>
      <c r="E57" s="23"/>
      <c r="F57" s="23"/>
      <c r="G57" s="23"/>
      <c r="I57" s="9"/>
    </row>
    <row r="58" spans="1:17" ht="15.75" customHeight="1" x14ac:dyDescent="0.15">
      <c r="A58" s="9"/>
      <c r="I58" s="9"/>
    </row>
    <row r="59" spans="1:17" ht="15.75" customHeight="1" x14ac:dyDescent="0.15">
      <c r="A59" s="5"/>
      <c r="I59" s="9"/>
      <c r="K59" s="9"/>
      <c r="L59" s="9"/>
      <c r="M59" s="9"/>
      <c r="N59" s="9"/>
      <c r="O59" s="9"/>
      <c r="P59" s="9"/>
      <c r="Q59" s="9"/>
    </row>
    <row r="60" spans="1:17" ht="15.75" customHeight="1" x14ac:dyDescent="0.15">
      <c r="A60" s="9"/>
      <c r="B60" s="9"/>
      <c r="C60" s="9"/>
      <c r="E60" s="23"/>
      <c r="F60" s="23"/>
      <c r="G60" s="23"/>
      <c r="I60" s="9"/>
      <c r="K60" s="9"/>
      <c r="L60" s="9"/>
      <c r="M60" s="9"/>
      <c r="N60" s="9"/>
      <c r="O60" s="9"/>
      <c r="P60" s="9"/>
      <c r="Q60" s="9"/>
    </row>
    <row r="61" spans="1:17" ht="15.75" customHeight="1" x14ac:dyDescent="0.15">
      <c r="A61" s="9"/>
      <c r="B61" s="9"/>
      <c r="C61" s="9"/>
      <c r="E61" s="23"/>
      <c r="F61" s="23"/>
      <c r="G61" s="23"/>
      <c r="I61" s="9"/>
      <c r="K61" s="9"/>
      <c r="L61" s="9"/>
      <c r="M61" s="9"/>
      <c r="N61" s="9"/>
      <c r="O61" s="31"/>
      <c r="P61" s="9"/>
      <c r="Q61" s="9"/>
    </row>
    <row r="62" spans="1:17" ht="15.75" customHeight="1" x14ac:dyDescent="0.15">
      <c r="A62" s="7"/>
      <c r="B62" s="9"/>
      <c r="C62" s="9"/>
      <c r="E62" s="23"/>
      <c r="F62" s="23"/>
      <c r="G62" s="23"/>
      <c r="I62" s="6"/>
      <c r="K62" s="7"/>
      <c r="L62" s="16" t="str">
        <f>F40</f>
        <v>"sensing"</v>
      </c>
      <c r="M62" s="16">
        <f>SUMPRODUCT(B42:B63, F42:F63)</f>
        <v>4.0575199999999993</v>
      </c>
      <c r="N62" s="16" t="s">
        <v>8</v>
      </c>
      <c r="O62" s="17">
        <f>$M$31/M62</f>
        <v>1171.1587373568093</v>
      </c>
      <c r="P62" s="16" t="s">
        <v>17</v>
      </c>
      <c r="Q62" s="6"/>
    </row>
    <row r="63" spans="1:17" ht="15.75" customHeight="1" x14ac:dyDescent="0.15">
      <c r="A63" s="7"/>
      <c r="B63" s="9"/>
      <c r="C63" s="9"/>
      <c r="E63" s="23"/>
      <c r="F63" s="23"/>
      <c r="G63" s="23"/>
      <c r="I63" s="6"/>
      <c r="K63" s="7"/>
      <c r="L63" s="16" t="str">
        <f>G40</f>
        <v>"interactive"</v>
      </c>
      <c r="M63" s="16">
        <f>SUMPRODUCT(B42:B63, G42:G63)</f>
        <v>124.40200000000002</v>
      </c>
      <c r="N63" s="16" t="s">
        <v>8</v>
      </c>
      <c r="O63" s="17">
        <f>$M$31/M63</f>
        <v>38.198742785485756</v>
      </c>
      <c r="P63" s="16" t="s">
        <v>17</v>
      </c>
      <c r="Q63" s="6"/>
    </row>
    <row r="64" spans="1:17" ht="15.75" customHeight="1" x14ac:dyDescent="0.15">
      <c r="A64" s="7"/>
      <c r="I64" s="6"/>
      <c r="K64" s="7"/>
      <c r="Q64" s="6"/>
    </row>
    <row r="65" spans="1:17" ht="15.75" customHeight="1" x14ac:dyDescent="0.15">
      <c r="A65" s="4"/>
      <c r="E65" s="15">
        <v>16</v>
      </c>
      <c r="F65" s="15">
        <v>4</v>
      </c>
      <c r="G65" s="15">
        <v>4</v>
      </c>
      <c r="H65" s="9" t="s">
        <v>18</v>
      </c>
      <c r="I65" s="6"/>
      <c r="K65" s="7"/>
      <c r="L65" s="9" t="s">
        <v>19</v>
      </c>
      <c r="Q65" s="6"/>
    </row>
    <row r="66" spans="1:17" ht="15.75" customHeight="1" x14ac:dyDescent="0.15">
      <c r="A66" s="4" t="s">
        <v>20</v>
      </c>
      <c r="I66" s="6"/>
      <c r="K66" s="7"/>
      <c r="M66" s="9">
        <f>B67*B68*B69</f>
        <v>549.45000000000005</v>
      </c>
      <c r="N66" s="9" t="s">
        <v>21</v>
      </c>
      <c r="Q66" s="6"/>
    </row>
    <row r="67" spans="1:17" ht="15.75" customHeight="1" x14ac:dyDescent="0.15">
      <c r="A67" s="7" t="s">
        <v>22</v>
      </c>
      <c r="B67" s="13">
        <v>150</v>
      </c>
      <c r="C67" s="9" t="s">
        <v>23</v>
      </c>
      <c r="I67" s="6"/>
      <c r="K67" s="7"/>
      <c r="Q67" s="6"/>
    </row>
    <row r="68" spans="1:17" ht="15.75" customHeight="1" x14ac:dyDescent="0.15">
      <c r="A68" s="7" t="s">
        <v>24</v>
      </c>
      <c r="B68" s="13">
        <v>3.7</v>
      </c>
      <c r="C68" s="9" t="s">
        <v>25</v>
      </c>
      <c r="I68" s="6"/>
      <c r="K68" s="7"/>
      <c r="L68" s="18" t="s">
        <v>26</v>
      </c>
      <c r="M68" s="19">
        <f>M66/(E65*M61+F65*M62+G65*M63)</f>
        <v>1.0693057237019099</v>
      </c>
      <c r="N68" s="18" t="s">
        <v>27</v>
      </c>
      <c r="Q68" s="6"/>
    </row>
    <row r="69" spans="1:17" ht="15.75" customHeight="1" x14ac:dyDescent="0.15">
      <c r="A69" s="7" t="s">
        <v>28</v>
      </c>
      <c r="B69" s="11">
        <v>0.99</v>
      </c>
      <c r="I69" s="6"/>
      <c r="K69" s="7"/>
      <c r="L69" s="18" t="s">
        <v>29</v>
      </c>
      <c r="M69" s="19">
        <f>M68*24</f>
        <v>25.663337368845838</v>
      </c>
      <c r="N69" s="18" t="s">
        <v>17</v>
      </c>
      <c r="Q69" s="6"/>
    </row>
    <row r="70" spans="1:17" ht="15.75" customHeight="1" x14ac:dyDescent="0.15">
      <c r="A70" s="20"/>
      <c r="B70" s="21"/>
      <c r="C70" s="21"/>
      <c r="D70" s="21"/>
      <c r="E70" s="21"/>
      <c r="F70" s="21"/>
      <c r="G70" s="21"/>
      <c r="H70" s="21"/>
      <c r="I70" s="22"/>
      <c r="K70" s="20"/>
      <c r="L70" s="21"/>
      <c r="M70" s="21"/>
      <c r="N70" s="21"/>
      <c r="O70" s="21"/>
      <c r="P70" s="21"/>
      <c r="Q70" s="22"/>
    </row>
    <row r="73" spans="1:17" ht="15.75" customHeight="1" x14ac:dyDescent="0.15">
      <c r="A73" s="5" t="s">
        <v>30</v>
      </c>
    </row>
    <row r="74" spans="1:17" ht="15.75" customHeight="1" x14ac:dyDescent="0.15">
      <c r="A74" s="30" t="s">
        <v>46</v>
      </c>
    </row>
    <row r="75" spans="1:17" ht="15.75" customHeight="1" x14ac:dyDescent="0.15">
      <c r="A75" s="30" t="s">
        <v>48</v>
      </c>
    </row>
    <row r="76" spans="1:17" ht="15.75" customHeight="1" x14ac:dyDescent="0.15">
      <c r="A76" s="30" t="s">
        <v>47</v>
      </c>
    </row>
    <row r="77" spans="1:17" ht="15.75" customHeight="1" x14ac:dyDescent="0.15">
      <c r="A77" s="30" t="s">
        <v>45</v>
      </c>
    </row>
  </sheetData>
  <hyperlinks>
    <hyperlink ref="H50" r:id="rId1" display="https://www.ti.com/lit/ds/symlink/ads1113.pdf?HQS=dis-dk-null-digikeymode-dsf-pf-null-wwe&amp;ts=1770596877360&amp;ref_url=https%253A%252F%252Fwww.ti.com%252Fgeneral%252Fdocs%252Fsuppproductinfo.tsp%253FdistId%253D10%2526gotoUrl%253Dhttps%253A%252F%252Fwww.ti.com%252Flit%252Fgpn%252Fads1113" xr:uid="{4042889C-529E-DE45-AC71-0FAC9E7F652E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Q118"/>
  <sheetViews>
    <sheetView topLeftCell="A76" workbookViewId="0">
      <selection activeCell="H76" sqref="H1:J1048576"/>
    </sheetView>
  </sheetViews>
  <sheetFormatPr baseColWidth="10" defaultColWidth="12.6640625" defaultRowHeight="15.75" customHeight="1" x14ac:dyDescent="0.15"/>
  <sheetData>
    <row r="50" spans="1:17" ht="15.75" customHeight="1" x14ac:dyDescent="0.15">
      <c r="A50" s="9" t="s">
        <v>31</v>
      </c>
    </row>
    <row r="52" spans="1:17" ht="15.75" customHeight="1" x14ac:dyDescent="0.15">
      <c r="A52" s="9" t="str">
        <f>'System Parameters'!A3</f>
        <v>System Parameters (defined by hardware)</v>
      </c>
      <c r="B52" s="9">
        <f>'System Parameters'!B3</f>
        <v>0</v>
      </c>
      <c r="C52" s="9">
        <f>'System Parameters'!C3</f>
        <v>0</v>
      </c>
      <c r="D52" s="9">
        <f>'System Parameters'!D3</f>
        <v>0</v>
      </c>
      <c r="N52" s="9" t="str">
        <f>'System Parameters'!E3</f>
        <v>Profiles (usage of each component mode - defined by software and usage)</v>
      </c>
      <c r="O52" s="9">
        <f>'System Parameters'!F3</f>
        <v>0</v>
      </c>
      <c r="P52" s="9">
        <f>'System Parameters'!G3</f>
        <v>0</v>
      </c>
      <c r="Q52" s="9">
        <f>'System Parameters'!H3</f>
        <v>0</v>
      </c>
    </row>
    <row r="53" spans="1:17" ht="15.75" customHeight="1" x14ac:dyDescent="0.15">
      <c r="A53" s="9">
        <f>'System Parameters'!A4</f>
        <v>0</v>
      </c>
      <c r="B53" s="9" t="str">
        <f>'System Parameters'!B4</f>
        <v>form the datasheets</v>
      </c>
      <c r="C53" s="9">
        <f>'System Parameters'!C4</f>
        <v>0</v>
      </c>
      <c r="D53" s="9">
        <f>'System Parameters'!D4</f>
        <v>0</v>
      </c>
      <c r="N53" s="9">
        <f>'System Parameters'!E4</f>
        <v>0</v>
      </c>
      <c r="O53" s="9">
        <f>'System Parameters'!F4</f>
        <v>0</v>
      </c>
      <c r="P53" s="9">
        <f>'System Parameters'!G4</f>
        <v>0</v>
      </c>
      <c r="Q53" s="9">
        <f>'System Parameters'!H4</f>
        <v>0</v>
      </c>
    </row>
    <row r="54" spans="1:17" ht="15.75" customHeight="1" x14ac:dyDescent="0.15">
      <c r="A54" s="9">
        <f>'System Parameters'!A5</f>
        <v>0</v>
      </c>
      <c r="B54" s="9">
        <f>'System Parameters'!B5</f>
        <v>0</v>
      </c>
      <c r="C54" s="9">
        <f>'System Parameters'!C5</f>
        <v>0</v>
      </c>
      <c r="D54" s="9">
        <f>'System Parameters'!D5</f>
        <v>0</v>
      </c>
      <c r="N54" s="9" t="str">
        <f>'System Parameters'!E5</f>
        <v>"off"</v>
      </c>
      <c r="O54" s="9" t="str">
        <f>'System Parameters'!F5</f>
        <v>"sensing"</v>
      </c>
      <c r="P54" s="9" t="str">
        <f>'System Parameters'!G5</f>
        <v>"interactive"</v>
      </c>
      <c r="Q54" s="9">
        <f>'System Parameters'!H5</f>
        <v>0</v>
      </c>
    </row>
    <row r="55" spans="1:17" ht="13" x14ac:dyDescent="0.15">
      <c r="A55" s="9" t="str">
        <f>'System Parameters'!A6</f>
        <v>Processor</v>
      </c>
      <c r="B55" s="9">
        <f>'System Parameters'!B6</f>
        <v>0</v>
      </c>
      <c r="C55" s="9">
        <f>'System Parameters'!C6</f>
        <v>0</v>
      </c>
      <c r="D55" s="9">
        <f>'System Parameters'!D6</f>
        <v>0</v>
      </c>
      <c r="N55" s="9">
        <f>'System Parameters'!E6</f>
        <v>0</v>
      </c>
      <c r="O55" s="9">
        <f>'System Parameters'!F6</f>
        <v>0</v>
      </c>
      <c r="P55" s="9">
        <f>'System Parameters'!G6</f>
        <v>0</v>
      </c>
      <c r="Q55" s="9" t="str">
        <f>'System Parameters'!H6</f>
        <v>Measured</v>
      </c>
    </row>
    <row r="56" spans="1:17" ht="13" x14ac:dyDescent="0.15">
      <c r="A56" s="9" t="str">
        <f>'System Parameters'!A7</f>
        <v>Active</v>
      </c>
      <c r="B56" s="14">
        <f>'System Parameters'!B7</f>
        <v>154.25</v>
      </c>
      <c r="C56" s="9" t="str">
        <f>'System Parameters'!C7</f>
        <v>mW</v>
      </c>
      <c r="D56" s="9">
        <f>$B56*0.9</f>
        <v>138.82500000000002</v>
      </c>
      <c r="E56" s="14">
        <f t="shared" ref="E56:I56" si="0">$B56</f>
        <v>154.25</v>
      </c>
      <c r="F56" s="14">
        <f t="shared" si="0"/>
        <v>154.25</v>
      </c>
      <c r="G56" s="14">
        <f t="shared" si="0"/>
        <v>154.25</v>
      </c>
      <c r="H56" s="14">
        <f t="shared" si="0"/>
        <v>154.25</v>
      </c>
      <c r="I56" s="14">
        <f t="shared" si="0"/>
        <v>154.25</v>
      </c>
      <c r="N56" s="23">
        <f>'System Parameters'!E7</f>
        <v>0</v>
      </c>
      <c r="O56" s="23">
        <f>'System Parameters'!F7</f>
        <v>0.02</v>
      </c>
      <c r="P56" s="23">
        <f>'System Parameters'!G7</f>
        <v>0.8</v>
      </c>
      <c r="Q56" s="9">
        <f>'System Parameters'!H7</f>
        <v>0</v>
      </c>
    </row>
    <row r="57" spans="1:17" ht="13" x14ac:dyDescent="0.15">
      <c r="A57" s="9" t="str">
        <f>'System Parameters'!A8</f>
        <v>Idle</v>
      </c>
      <c r="B57" s="14">
        <f>'System Parameters'!B8</f>
        <v>2.5350000000000001</v>
      </c>
      <c r="C57" s="9" t="str">
        <f>'System Parameters'!C8</f>
        <v>mW</v>
      </c>
      <c r="D57" s="14">
        <f t="shared" ref="D57:D76" si="1">$B57</f>
        <v>2.5350000000000001</v>
      </c>
      <c r="E57" s="9">
        <f>$B57*0.9</f>
        <v>2.2815000000000003</v>
      </c>
      <c r="F57" s="14">
        <f t="shared" ref="F57:I57" si="2">$B57</f>
        <v>2.5350000000000001</v>
      </c>
      <c r="G57" s="14">
        <f t="shared" si="2"/>
        <v>2.5350000000000001</v>
      </c>
      <c r="H57" s="14">
        <f t="shared" si="2"/>
        <v>2.5350000000000001</v>
      </c>
      <c r="I57" s="14">
        <f t="shared" si="2"/>
        <v>2.5350000000000001</v>
      </c>
      <c r="N57" s="23">
        <f>'System Parameters'!E8</f>
        <v>0</v>
      </c>
      <c r="O57" s="23">
        <f>'System Parameters'!F8</f>
        <v>0</v>
      </c>
      <c r="P57" s="23">
        <f>'System Parameters'!G8</f>
        <v>0.2</v>
      </c>
      <c r="Q57" s="9">
        <f>'System Parameters'!H8</f>
        <v>0</v>
      </c>
    </row>
    <row r="58" spans="1:17" ht="13" x14ac:dyDescent="0.15">
      <c r="A58" s="9" t="str">
        <f>'System Parameters'!A9</f>
        <v>Sleep</v>
      </c>
      <c r="B58" s="14">
        <f>'System Parameters'!B9</f>
        <v>0.89</v>
      </c>
      <c r="C58" s="9" t="str">
        <f>'System Parameters'!C9</f>
        <v>mW</v>
      </c>
      <c r="D58" s="14">
        <f t="shared" si="1"/>
        <v>0.89</v>
      </c>
      <c r="E58" s="14">
        <f t="shared" ref="E58:E76" si="3">$B58</f>
        <v>0.89</v>
      </c>
      <c r="F58" s="9">
        <f>$B58*0.9</f>
        <v>0.80100000000000005</v>
      </c>
      <c r="G58" s="14">
        <f t="shared" ref="G58:I58" si="4">$B58</f>
        <v>0.89</v>
      </c>
      <c r="H58" s="14">
        <f t="shared" si="4"/>
        <v>0.89</v>
      </c>
      <c r="I58" s="14">
        <f t="shared" si="4"/>
        <v>0.89</v>
      </c>
      <c r="N58" s="23">
        <f>'System Parameters'!E9</f>
        <v>1</v>
      </c>
      <c r="O58" s="23">
        <f>'System Parameters'!F9</f>
        <v>0.98</v>
      </c>
      <c r="P58" s="23">
        <f>'System Parameters'!G9</f>
        <v>0</v>
      </c>
      <c r="Q58" s="9">
        <f>'System Parameters'!H9</f>
        <v>0</v>
      </c>
    </row>
    <row r="59" spans="1:17" ht="13" x14ac:dyDescent="0.15">
      <c r="A59" s="9">
        <f>'System Parameters'!A10</f>
        <v>0</v>
      </c>
      <c r="B59" s="9">
        <f>'System Parameters'!B10</f>
        <v>0</v>
      </c>
      <c r="C59" s="9">
        <f>'System Parameters'!C10</f>
        <v>0</v>
      </c>
      <c r="D59" s="9">
        <f t="shared" si="1"/>
        <v>0</v>
      </c>
      <c r="E59" s="9">
        <f t="shared" si="3"/>
        <v>0</v>
      </c>
      <c r="F59" s="9">
        <f t="shared" ref="F59:I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N59" s="9">
        <f>'System Parameters'!E10</f>
        <v>0</v>
      </c>
      <c r="O59" s="9">
        <f>'System Parameters'!F10</f>
        <v>0</v>
      </c>
      <c r="P59" s="9">
        <f>'System Parameters'!G10</f>
        <v>0</v>
      </c>
      <c r="Q59" s="9">
        <f>'System Parameters'!H10</f>
        <v>0</v>
      </c>
    </row>
    <row r="60" spans="1:17" ht="13" x14ac:dyDescent="0.15">
      <c r="A60" s="9" t="str">
        <f>'System Parameters'!A11</f>
        <v>LED</v>
      </c>
      <c r="B60" s="9">
        <f>'System Parameters'!B11</f>
        <v>0</v>
      </c>
      <c r="C60" s="9">
        <f>'System Parameters'!C11</f>
        <v>0</v>
      </c>
      <c r="D60" s="9">
        <f t="shared" si="1"/>
        <v>0</v>
      </c>
      <c r="E60" s="9">
        <f t="shared" si="3"/>
        <v>0</v>
      </c>
      <c r="F60" s="9">
        <f t="shared" ref="F60:I60" si="6">$B60</f>
        <v>0</v>
      </c>
      <c r="G60" s="9">
        <f t="shared" si="6"/>
        <v>0</v>
      </c>
      <c r="H60" s="9">
        <f t="shared" si="6"/>
        <v>0</v>
      </c>
      <c r="I60" s="9">
        <f t="shared" si="6"/>
        <v>0</v>
      </c>
      <c r="N60" s="9">
        <f>'System Parameters'!E11</f>
        <v>0</v>
      </c>
      <c r="O60" s="9">
        <f>'System Parameters'!F11</f>
        <v>0</v>
      </c>
      <c r="P60" s="9">
        <f>'System Parameters'!G11</f>
        <v>0</v>
      </c>
      <c r="Q60" s="9" t="str">
        <f>'System Parameters'!H11</f>
        <v>https://cdn-shop.adafruit.com/product-files/1655/SKC6812RV__12VOP0274E_REV.A1_EN%2812%29.pdf</v>
      </c>
    </row>
    <row r="61" spans="1:17" ht="13" x14ac:dyDescent="0.15">
      <c r="A61" s="9" t="str">
        <f>'System Parameters'!A12</f>
        <v>On</v>
      </c>
      <c r="B61" s="14">
        <f>'System Parameters'!B12</f>
        <v>540</v>
      </c>
      <c r="C61" s="9" t="str">
        <f>'System Parameters'!C12</f>
        <v>mW</v>
      </c>
      <c r="D61" s="14">
        <f t="shared" si="1"/>
        <v>540</v>
      </c>
      <c r="E61" s="14">
        <f t="shared" si="3"/>
        <v>540</v>
      </c>
      <c r="F61" s="14">
        <f t="shared" ref="F61:F76" si="7">$B61</f>
        <v>540</v>
      </c>
      <c r="G61" s="9">
        <f>$B61*0.9</f>
        <v>486</v>
      </c>
      <c r="H61" s="14">
        <f t="shared" ref="H61:I61" si="8">$B61</f>
        <v>540</v>
      </c>
      <c r="I61" s="14">
        <f t="shared" si="8"/>
        <v>540</v>
      </c>
      <c r="N61" s="23">
        <f>'System Parameters'!E12</f>
        <v>0</v>
      </c>
      <c r="O61" s="23">
        <f>'System Parameters'!F12</f>
        <v>0.02</v>
      </c>
      <c r="P61" s="23">
        <f>'System Parameters'!G12</f>
        <v>0.8</v>
      </c>
      <c r="Q61" s="9">
        <f>'System Parameters'!H12</f>
        <v>0</v>
      </c>
    </row>
    <row r="62" spans="1:17" ht="13" x14ac:dyDescent="0.15">
      <c r="A62" s="9" t="str">
        <f>'System Parameters'!A13</f>
        <v>Off</v>
      </c>
      <c r="B62" s="14">
        <f>'System Parameters'!B13</f>
        <v>3.75</v>
      </c>
      <c r="C62" s="9" t="str">
        <f>'System Parameters'!C13</f>
        <v>mW</v>
      </c>
      <c r="D62" s="14">
        <f t="shared" si="1"/>
        <v>3.75</v>
      </c>
      <c r="E62" s="14">
        <f t="shared" si="3"/>
        <v>3.75</v>
      </c>
      <c r="F62" s="14">
        <f t="shared" si="7"/>
        <v>3.75</v>
      </c>
      <c r="G62" s="14">
        <f t="shared" ref="G62:I62" si="9">$B62</f>
        <v>3.75</v>
      </c>
      <c r="H62" s="14">
        <f t="shared" si="9"/>
        <v>3.75</v>
      </c>
      <c r="I62" s="14">
        <f t="shared" si="9"/>
        <v>3.75</v>
      </c>
      <c r="N62" s="9">
        <f>'System Parameters'!E13</f>
        <v>1</v>
      </c>
      <c r="O62" s="9">
        <f>'System Parameters'!F13</f>
        <v>0.98</v>
      </c>
      <c r="P62" s="9">
        <f>'System Parameters'!G13</f>
        <v>0.2</v>
      </c>
      <c r="Q62" s="9">
        <f>'System Parameters'!H13</f>
        <v>0</v>
      </c>
    </row>
    <row r="63" spans="1:17" ht="13" x14ac:dyDescent="0.15">
      <c r="A63" s="9">
        <f>'System Parameters'!A14</f>
        <v>0</v>
      </c>
      <c r="B63" s="14">
        <f>'System Parameters'!B14</f>
        <v>0</v>
      </c>
      <c r="C63" s="9">
        <f>'System Parameters'!C14</f>
        <v>0</v>
      </c>
      <c r="D63" s="14">
        <f t="shared" si="1"/>
        <v>0</v>
      </c>
      <c r="E63" s="14">
        <f t="shared" si="3"/>
        <v>0</v>
      </c>
      <c r="F63" s="14">
        <v>0</v>
      </c>
      <c r="G63" s="14">
        <f t="shared" ref="G63:I63" si="10">$B63</f>
        <v>0</v>
      </c>
      <c r="H63" s="14">
        <f t="shared" si="10"/>
        <v>0</v>
      </c>
      <c r="I63" s="14">
        <f t="shared" si="10"/>
        <v>0</v>
      </c>
      <c r="N63" s="9">
        <f>'System Parameters'!E14</f>
        <v>0</v>
      </c>
      <c r="O63" s="9">
        <f>'System Parameters'!F14</f>
        <v>0</v>
      </c>
      <c r="P63" s="9">
        <f>'System Parameters'!G14</f>
        <v>0</v>
      </c>
      <c r="Q63" s="9">
        <f>'System Parameters'!H14</f>
        <v>0</v>
      </c>
    </row>
    <row r="64" spans="1:17" ht="13" x14ac:dyDescent="0.15">
      <c r="A64" s="9">
        <f>'System Parameters'!A15</f>
        <v>0</v>
      </c>
      <c r="B64" s="14">
        <f>'System Parameters'!B15</f>
        <v>0</v>
      </c>
      <c r="C64" s="9">
        <f>'System Parameters'!C15</f>
        <v>0</v>
      </c>
      <c r="D64" s="14">
        <f t="shared" si="1"/>
        <v>0</v>
      </c>
      <c r="E64" s="14">
        <f t="shared" si="3"/>
        <v>0</v>
      </c>
      <c r="F64" s="14">
        <f t="shared" si="7"/>
        <v>0</v>
      </c>
      <c r="G64" s="14">
        <f t="shared" ref="G64:I64" si="11">$B64</f>
        <v>0</v>
      </c>
      <c r="H64" s="14">
        <f t="shared" si="11"/>
        <v>0</v>
      </c>
      <c r="I64" s="14">
        <f t="shared" si="11"/>
        <v>0</v>
      </c>
      <c r="N64" s="9">
        <f>'System Parameters'!E15</f>
        <v>0</v>
      </c>
      <c r="O64" s="9">
        <f>'System Parameters'!F15</f>
        <v>0</v>
      </c>
      <c r="P64" s="9">
        <f>'System Parameters'!G15</f>
        <v>0</v>
      </c>
      <c r="Q64" s="9">
        <f>'System Parameters'!H15</f>
        <v>0</v>
      </c>
    </row>
    <row r="65" spans="1:17" ht="13" x14ac:dyDescent="0.15">
      <c r="A65" s="9">
        <f>'System Parameters'!A16</f>
        <v>0</v>
      </c>
      <c r="B65" s="14">
        <f>'System Parameters'!B16</f>
        <v>0</v>
      </c>
      <c r="C65" s="9">
        <f>'System Parameters'!C16</f>
        <v>0</v>
      </c>
      <c r="D65" s="14">
        <f t="shared" si="1"/>
        <v>0</v>
      </c>
      <c r="E65" s="14">
        <f t="shared" si="3"/>
        <v>0</v>
      </c>
      <c r="F65" s="14">
        <f t="shared" si="7"/>
        <v>0</v>
      </c>
      <c r="G65" s="14">
        <f t="shared" ref="G65:G76" si="12">$B65</f>
        <v>0</v>
      </c>
      <c r="H65" s="14">
        <f t="shared" ref="H65:I65" si="13">$B65</f>
        <v>0</v>
      </c>
      <c r="I65" s="14">
        <f t="shared" si="13"/>
        <v>0</v>
      </c>
      <c r="N65" s="23">
        <f>'System Parameters'!E16</f>
        <v>0</v>
      </c>
      <c r="O65" s="23">
        <f>'System Parameters'!F16</f>
        <v>0</v>
      </c>
      <c r="P65" s="23">
        <f>'System Parameters'!G16</f>
        <v>0</v>
      </c>
      <c r="Q65" s="9">
        <f>'System Parameters'!H16</f>
        <v>0</v>
      </c>
    </row>
    <row r="66" spans="1:17" ht="13" x14ac:dyDescent="0.15">
      <c r="A66" s="9">
        <f>'System Parameters'!A17</f>
        <v>0</v>
      </c>
      <c r="B66" s="14">
        <f>'System Parameters'!B17</f>
        <v>0</v>
      </c>
      <c r="C66" s="9">
        <f>'System Parameters'!C17</f>
        <v>0</v>
      </c>
      <c r="D66" s="14">
        <f t="shared" si="1"/>
        <v>0</v>
      </c>
      <c r="E66" s="14">
        <f t="shared" si="3"/>
        <v>0</v>
      </c>
      <c r="F66" s="14">
        <f t="shared" si="7"/>
        <v>0</v>
      </c>
      <c r="G66" s="14">
        <f t="shared" si="12"/>
        <v>0</v>
      </c>
      <c r="H66" s="14">
        <f t="shared" ref="H66:I66" si="14">$B66</f>
        <v>0</v>
      </c>
      <c r="I66" s="14">
        <f t="shared" si="14"/>
        <v>0</v>
      </c>
      <c r="N66" s="23">
        <f>'System Parameters'!E17</f>
        <v>0</v>
      </c>
      <c r="O66" s="23">
        <f>'System Parameters'!F17</f>
        <v>0</v>
      </c>
      <c r="P66" s="23">
        <f>'System Parameters'!G17</f>
        <v>0</v>
      </c>
      <c r="Q66" s="9">
        <f>'System Parameters'!H17</f>
        <v>0</v>
      </c>
    </row>
    <row r="67" spans="1:17" ht="13" x14ac:dyDescent="0.15">
      <c r="A67" s="9">
        <f>'System Parameters'!A18</f>
        <v>0</v>
      </c>
      <c r="B67" s="14">
        <f>'System Parameters'!B18</f>
        <v>0</v>
      </c>
      <c r="C67" s="9">
        <f>'System Parameters'!C18</f>
        <v>0</v>
      </c>
      <c r="D67" s="14">
        <f t="shared" si="1"/>
        <v>0</v>
      </c>
      <c r="E67" s="14">
        <f t="shared" si="3"/>
        <v>0</v>
      </c>
      <c r="F67" s="14">
        <f t="shared" si="7"/>
        <v>0</v>
      </c>
      <c r="G67" s="14">
        <f t="shared" si="12"/>
        <v>0</v>
      </c>
      <c r="H67" s="14">
        <f t="shared" ref="H67:I67" si="15">$B67</f>
        <v>0</v>
      </c>
      <c r="I67" s="14">
        <f t="shared" si="15"/>
        <v>0</v>
      </c>
      <c r="N67" s="23">
        <f>'System Parameters'!E18</f>
        <v>0</v>
      </c>
      <c r="O67" s="23">
        <f>'System Parameters'!F18</f>
        <v>0</v>
      </c>
      <c r="P67" s="23">
        <f>'System Parameters'!G18</f>
        <v>0</v>
      </c>
      <c r="Q67" s="9">
        <f>'System Parameters'!H18</f>
        <v>0</v>
      </c>
    </row>
    <row r="68" spans="1:17" ht="13" x14ac:dyDescent="0.15">
      <c r="A68" s="9">
        <f>'System Parameters'!A19</f>
        <v>0</v>
      </c>
      <c r="B68" s="14">
        <f>'System Parameters'!B19</f>
        <v>0</v>
      </c>
      <c r="C68" s="9">
        <f>'System Parameters'!C19</f>
        <v>0</v>
      </c>
      <c r="D68" s="14">
        <f t="shared" si="1"/>
        <v>0</v>
      </c>
      <c r="E68" s="14">
        <f t="shared" si="3"/>
        <v>0</v>
      </c>
      <c r="F68" s="14">
        <f t="shared" si="7"/>
        <v>0</v>
      </c>
      <c r="G68" s="14">
        <f t="shared" si="12"/>
        <v>0</v>
      </c>
      <c r="H68" s="14">
        <f t="shared" ref="H68:I68" si="16">$B68</f>
        <v>0</v>
      </c>
      <c r="I68" s="14">
        <f t="shared" si="16"/>
        <v>0</v>
      </c>
      <c r="N68" s="9">
        <f>'System Parameters'!E19</f>
        <v>0</v>
      </c>
      <c r="O68" s="9">
        <f>'System Parameters'!F19</f>
        <v>0</v>
      </c>
      <c r="P68" s="9">
        <f>'System Parameters'!G19</f>
        <v>0</v>
      </c>
      <c r="Q68" s="9">
        <f>'System Parameters'!H19</f>
        <v>0</v>
      </c>
    </row>
    <row r="69" spans="1:17" ht="13" x14ac:dyDescent="0.15">
      <c r="A69" s="9">
        <f>'System Parameters'!A20</f>
        <v>0</v>
      </c>
      <c r="B69" s="14">
        <f>'System Parameters'!B20</f>
        <v>0</v>
      </c>
      <c r="C69" s="9">
        <f>'System Parameters'!C20</f>
        <v>0</v>
      </c>
      <c r="D69" s="14">
        <f t="shared" si="1"/>
        <v>0</v>
      </c>
      <c r="E69" s="14">
        <f t="shared" si="3"/>
        <v>0</v>
      </c>
      <c r="F69" s="14">
        <f t="shared" si="7"/>
        <v>0</v>
      </c>
      <c r="G69" s="14">
        <f t="shared" si="12"/>
        <v>0</v>
      </c>
      <c r="H69" s="14">
        <f t="shared" ref="H69:I69" si="17">$B69</f>
        <v>0</v>
      </c>
      <c r="I69" s="14">
        <f t="shared" si="17"/>
        <v>0</v>
      </c>
      <c r="N69" s="9">
        <f>'System Parameters'!E20</f>
        <v>0</v>
      </c>
      <c r="O69" s="9">
        <f>'System Parameters'!F20</f>
        <v>0</v>
      </c>
      <c r="P69" s="9">
        <f>'System Parameters'!G20</f>
        <v>0</v>
      </c>
      <c r="Q69" s="9">
        <f>'System Parameters'!H20</f>
        <v>0</v>
      </c>
    </row>
    <row r="70" spans="1:17" ht="13" x14ac:dyDescent="0.15">
      <c r="A70" s="9">
        <f>'System Parameters'!A21</f>
        <v>0</v>
      </c>
      <c r="B70" s="14">
        <f>'System Parameters'!B21</f>
        <v>0</v>
      </c>
      <c r="C70" s="9">
        <f>'System Parameters'!C21</f>
        <v>0</v>
      </c>
      <c r="D70" s="14">
        <f t="shared" si="1"/>
        <v>0</v>
      </c>
      <c r="E70" s="14">
        <f t="shared" si="3"/>
        <v>0</v>
      </c>
      <c r="F70" s="14">
        <f t="shared" si="7"/>
        <v>0</v>
      </c>
      <c r="G70" s="14">
        <f t="shared" si="12"/>
        <v>0</v>
      </c>
      <c r="H70" s="14">
        <f t="shared" ref="H70:I70" si="18">$B70</f>
        <v>0</v>
      </c>
      <c r="I70" s="14">
        <f t="shared" si="18"/>
        <v>0</v>
      </c>
      <c r="N70" s="23">
        <f>'System Parameters'!E21</f>
        <v>0</v>
      </c>
      <c r="O70" s="23">
        <f>'System Parameters'!F21</f>
        <v>0</v>
      </c>
      <c r="P70" s="23">
        <f>'System Parameters'!G21</f>
        <v>0</v>
      </c>
      <c r="Q70" s="9">
        <f>'System Parameters'!H21</f>
        <v>0</v>
      </c>
    </row>
    <row r="71" spans="1:17" ht="13" x14ac:dyDescent="0.15">
      <c r="A71" s="9">
        <f>'System Parameters'!A22</f>
        <v>0</v>
      </c>
      <c r="B71" s="14">
        <f>'System Parameters'!B22</f>
        <v>0</v>
      </c>
      <c r="C71" s="9">
        <f>'System Parameters'!C22</f>
        <v>0</v>
      </c>
      <c r="D71" s="14">
        <f t="shared" si="1"/>
        <v>0</v>
      </c>
      <c r="E71" s="14">
        <f t="shared" si="3"/>
        <v>0</v>
      </c>
      <c r="F71" s="14">
        <f t="shared" si="7"/>
        <v>0</v>
      </c>
      <c r="G71" s="14">
        <f t="shared" si="12"/>
        <v>0</v>
      </c>
      <c r="H71" s="14">
        <f t="shared" ref="H71:I71" si="19">$B71</f>
        <v>0</v>
      </c>
      <c r="I71" s="14">
        <f t="shared" si="19"/>
        <v>0</v>
      </c>
      <c r="N71" s="23">
        <f>'System Parameters'!E22</f>
        <v>0</v>
      </c>
      <c r="O71" s="23">
        <f>'System Parameters'!F22</f>
        <v>0</v>
      </c>
      <c r="P71" s="23">
        <f>'System Parameters'!G22</f>
        <v>0</v>
      </c>
      <c r="Q71" s="9">
        <f>'System Parameters'!H22</f>
        <v>0</v>
      </c>
    </row>
    <row r="72" spans="1:17" ht="13" x14ac:dyDescent="0.15">
      <c r="A72" s="9">
        <f>'System Parameters'!A23</f>
        <v>0</v>
      </c>
      <c r="B72" s="9">
        <f>'System Parameters'!B23</f>
        <v>0</v>
      </c>
      <c r="C72" s="9">
        <f>'System Parameters'!C23</f>
        <v>0</v>
      </c>
      <c r="D72" s="9">
        <f t="shared" si="1"/>
        <v>0</v>
      </c>
      <c r="E72" s="9">
        <f t="shared" si="3"/>
        <v>0</v>
      </c>
      <c r="F72" s="9">
        <f t="shared" si="7"/>
        <v>0</v>
      </c>
      <c r="G72" s="9">
        <f t="shared" si="12"/>
        <v>0</v>
      </c>
      <c r="H72" s="9">
        <f t="shared" ref="H72:I72" si="20">$B72</f>
        <v>0</v>
      </c>
      <c r="I72" s="9">
        <f t="shared" si="20"/>
        <v>0</v>
      </c>
      <c r="N72" s="9">
        <f>'System Parameters'!E23</f>
        <v>0</v>
      </c>
      <c r="O72" s="9">
        <f>'System Parameters'!F23</f>
        <v>0</v>
      </c>
      <c r="P72" s="9">
        <f>'System Parameters'!G23</f>
        <v>0</v>
      </c>
      <c r="Q72" s="9">
        <f>'System Parameters'!H23</f>
        <v>0</v>
      </c>
    </row>
    <row r="73" spans="1:17" ht="13" x14ac:dyDescent="0.15">
      <c r="A73" s="9" t="str">
        <f>'System Parameters'!A24</f>
        <v>x27 168 stepper motor</v>
      </c>
      <c r="B73" s="9">
        <f>'System Parameters'!B24</f>
        <v>0</v>
      </c>
      <c r="C73" s="9">
        <f>'System Parameters'!C24</f>
        <v>0</v>
      </c>
      <c r="D73" s="9">
        <f t="shared" si="1"/>
        <v>0</v>
      </c>
      <c r="E73" s="9">
        <f t="shared" si="3"/>
        <v>0</v>
      </c>
      <c r="F73" s="9">
        <f t="shared" si="7"/>
        <v>0</v>
      </c>
      <c r="G73" s="9">
        <f t="shared" si="12"/>
        <v>0</v>
      </c>
      <c r="H73" s="9">
        <f t="shared" ref="H73:I73" si="21">$B73</f>
        <v>0</v>
      </c>
      <c r="I73" s="9">
        <f t="shared" si="21"/>
        <v>0</v>
      </c>
      <c r="N73" s="9">
        <f>'System Parameters'!E24</f>
        <v>0</v>
      </c>
      <c r="O73" s="9">
        <f>'System Parameters'!F24</f>
        <v>0</v>
      </c>
      <c r="P73" s="9">
        <f>'System Parameters'!G24</f>
        <v>0</v>
      </c>
      <c r="Q73" s="9" t="str">
        <f>'System Parameters'!H24</f>
        <v>Measured</v>
      </c>
    </row>
    <row r="74" spans="1:17" ht="13" x14ac:dyDescent="0.15">
      <c r="A74" s="9" t="str">
        <f>'System Parameters'!A26</f>
        <v>Standby Power</v>
      </c>
      <c r="B74" s="14">
        <f>'System Parameters'!B26</f>
        <v>86</v>
      </c>
      <c r="C74" s="9" t="str">
        <f>'System Parameters'!C26</f>
        <v>mW</v>
      </c>
      <c r="D74" s="14">
        <f t="shared" si="1"/>
        <v>86</v>
      </c>
      <c r="E74" s="14">
        <f t="shared" si="3"/>
        <v>86</v>
      </c>
      <c r="F74" s="14">
        <f t="shared" si="7"/>
        <v>86</v>
      </c>
      <c r="G74" s="14">
        <f t="shared" si="12"/>
        <v>86</v>
      </c>
      <c r="H74" s="9">
        <f>$B74*0.9</f>
        <v>77.400000000000006</v>
      </c>
      <c r="I74" s="14">
        <f t="shared" ref="I74" si="22">$B74</f>
        <v>86</v>
      </c>
      <c r="N74" s="23">
        <f>'System Parameters'!E26</f>
        <v>1</v>
      </c>
      <c r="O74" s="23">
        <f>'System Parameters'!F26</f>
        <v>0.98</v>
      </c>
      <c r="P74" s="23">
        <f>'System Parameters'!G26</f>
        <v>0.2</v>
      </c>
      <c r="Q74" s="9">
        <f>'System Parameters'!H26</f>
        <v>0</v>
      </c>
    </row>
    <row r="75" spans="1:17" ht="13" x14ac:dyDescent="0.15">
      <c r="A75" s="9">
        <f>'System Parameters'!A27</f>
        <v>0</v>
      </c>
      <c r="B75" s="14">
        <f>'System Parameters'!B27</f>
        <v>0</v>
      </c>
      <c r="C75" s="9">
        <f>'System Parameters'!C27</f>
        <v>0</v>
      </c>
      <c r="D75" s="14">
        <f t="shared" si="1"/>
        <v>0</v>
      </c>
      <c r="E75" s="14">
        <f t="shared" si="3"/>
        <v>0</v>
      </c>
      <c r="F75" s="14">
        <f t="shared" si="7"/>
        <v>0</v>
      </c>
      <c r="G75" s="14">
        <f t="shared" si="12"/>
        <v>0</v>
      </c>
      <c r="H75" s="14">
        <f t="shared" ref="H75:H76" si="23">$B75</f>
        <v>0</v>
      </c>
      <c r="I75" s="9">
        <f>$B75*0.9</f>
        <v>0</v>
      </c>
      <c r="N75" s="23">
        <f>'System Parameters'!E27</f>
        <v>0</v>
      </c>
      <c r="O75" s="23">
        <f>'System Parameters'!F27</f>
        <v>0</v>
      </c>
      <c r="P75" s="23">
        <f>'System Parameters'!G27</f>
        <v>0</v>
      </c>
      <c r="Q75" s="9">
        <f>'System Parameters'!H27</f>
        <v>0</v>
      </c>
    </row>
    <row r="76" spans="1:17" ht="13" x14ac:dyDescent="0.15">
      <c r="A76" s="9">
        <f>'System Parameters'!A28</f>
        <v>0</v>
      </c>
      <c r="B76" s="14">
        <f>'System Parameters'!B28</f>
        <v>0</v>
      </c>
      <c r="C76" s="9">
        <f>'System Parameters'!C28</f>
        <v>0</v>
      </c>
      <c r="D76" s="14">
        <f t="shared" si="1"/>
        <v>0</v>
      </c>
      <c r="E76" s="14">
        <f t="shared" si="3"/>
        <v>0</v>
      </c>
      <c r="F76" s="14">
        <f t="shared" si="7"/>
        <v>0</v>
      </c>
      <c r="G76" s="14">
        <f t="shared" si="12"/>
        <v>0</v>
      </c>
      <c r="H76" s="14">
        <f t="shared" si="23"/>
        <v>0</v>
      </c>
      <c r="I76" s="14">
        <f>$B76</f>
        <v>0</v>
      </c>
      <c r="N76" s="23">
        <f>'System Parameters'!E28</f>
        <v>0</v>
      </c>
      <c r="O76" s="23">
        <f>'System Parameters'!F28</f>
        <v>0</v>
      </c>
      <c r="P76" s="23">
        <f>'System Parameters'!G28</f>
        <v>0</v>
      </c>
      <c r="Q76" s="9">
        <f>'System Parameters'!H28</f>
        <v>0</v>
      </c>
    </row>
    <row r="77" spans="1:17" ht="13" x14ac:dyDescent="0.15">
      <c r="A77" s="9">
        <f>'System Parameters'!A29</f>
        <v>0</v>
      </c>
      <c r="B77" s="9">
        <f>'System Parameters'!B29</f>
        <v>0</v>
      </c>
      <c r="C77" s="9">
        <f>'System Parameters'!C29</f>
        <v>0</v>
      </c>
      <c r="D77" s="9">
        <f>'System Parameters'!D29</f>
        <v>0</v>
      </c>
      <c r="N77" s="9">
        <f>'System Parameters'!E29</f>
        <v>0</v>
      </c>
      <c r="O77" s="9">
        <f>'System Parameters'!F29</f>
        <v>0</v>
      </c>
      <c r="P77" s="9">
        <f>'System Parameters'!G29</f>
        <v>0</v>
      </c>
      <c r="Q77" s="9">
        <f>'System Parameters'!H29</f>
        <v>0</v>
      </c>
    </row>
    <row r="78" spans="1:17" ht="13" x14ac:dyDescent="0.15">
      <c r="A78" s="9">
        <f>'System Parameters'!A30</f>
        <v>0</v>
      </c>
      <c r="B78" s="9">
        <f>'System Parameters'!B30</f>
        <v>0</v>
      </c>
      <c r="C78" s="9">
        <f>'System Parameters'!C30</f>
        <v>0</v>
      </c>
      <c r="D78" s="9">
        <f>'System Parameters'!D30</f>
        <v>0</v>
      </c>
      <c r="N78" s="9">
        <f>'System Parameters'!E30</f>
        <v>16</v>
      </c>
      <c r="O78" s="9">
        <f>'System Parameters'!F30</f>
        <v>4</v>
      </c>
      <c r="P78" s="9">
        <f>'System Parameters'!G30</f>
        <v>4</v>
      </c>
      <c r="Q78" s="9" t="str">
        <f>'System Parameters'!H30</f>
        <v>hours/day typical usage</v>
      </c>
    </row>
    <row r="79" spans="1:17" ht="13" x14ac:dyDescent="0.15">
      <c r="A79" s="9" t="str">
        <f>'System Parameters'!A31</f>
        <v>Battery</v>
      </c>
      <c r="B79" s="9">
        <f>'System Parameters'!B31</f>
        <v>0</v>
      </c>
      <c r="C79" s="9">
        <f>'System Parameters'!C31</f>
        <v>0</v>
      </c>
      <c r="D79" s="9">
        <f>'System Parameters'!D31</f>
        <v>0</v>
      </c>
      <c r="N79" s="9">
        <f>'System Parameters'!E31</f>
        <v>0</v>
      </c>
      <c r="O79" s="9">
        <f>'System Parameters'!F31</f>
        <v>0</v>
      </c>
      <c r="P79" s="9">
        <f>'System Parameters'!G31</f>
        <v>0</v>
      </c>
      <c r="Q79" s="9">
        <f>'System Parameters'!H31</f>
        <v>0</v>
      </c>
    </row>
    <row r="80" spans="1:17" ht="13" x14ac:dyDescent="0.15">
      <c r="A80" s="9" t="str">
        <f>'System Parameters'!A32</f>
        <v>Capacity</v>
      </c>
      <c r="B80" s="14">
        <f>'System Parameters'!B32</f>
        <v>1000</v>
      </c>
      <c r="C80" s="9" t="str">
        <f>'System Parameters'!C32</f>
        <v>mAh</v>
      </c>
      <c r="D80" s="9">
        <f>'System Parameters'!D32</f>
        <v>0</v>
      </c>
      <c r="N80" s="9">
        <f>'System Parameters'!E32</f>
        <v>0</v>
      </c>
      <c r="O80" s="9">
        <f>'System Parameters'!F32</f>
        <v>0</v>
      </c>
      <c r="P80" s="9">
        <f>'System Parameters'!G32</f>
        <v>0</v>
      </c>
      <c r="Q80" s="9">
        <f>'System Parameters'!H32</f>
        <v>0</v>
      </c>
    </row>
    <row r="81" spans="1:17" ht="13" x14ac:dyDescent="0.15">
      <c r="A81" s="9" t="str">
        <f>'System Parameters'!A33</f>
        <v>Nominal Voltage</v>
      </c>
      <c r="B81" s="14">
        <f>'System Parameters'!B33</f>
        <v>4.8</v>
      </c>
      <c r="C81" s="9" t="str">
        <f>'System Parameters'!C33</f>
        <v>V</v>
      </c>
      <c r="D81" s="9">
        <f>'System Parameters'!D33</f>
        <v>0</v>
      </c>
      <c r="N81" s="9">
        <f>'System Parameters'!E33</f>
        <v>0</v>
      </c>
      <c r="O81" s="9">
        <f>'System Parameters'!F33</f>
        <v>0</v>
      </c>
      <c r="P81" s="9">
        <f>'System Parameters'!G33</f>
        <v>0</v>
      </c>
      <c r="Q81" s="9">
        <f>'System Parameters'!H33</f>
        <v>0</v>
      </c>
    </row>
    <row r="82" spans="1:17" ht="13" x14ac:dyDescent="0.15">
      <c r="A82" s="9" t="str">
        <f>'System Parameters'!A34</f>
        <v>Regulator Efficiency</v>
      </c>
      <c r="B82" s="23">
        <f>'System Parameters'!B34</f>
        <v>0.99</v>
      </c>
      <c r="C82" s="9">
        <f>'System Parameters'!C34</f>
        <v>0</v>
      </c>
      <c r="D82" s="9">
        <f>'System Parameters'!D34</f>
        <v>0</v>
      </c>
      <c r="N82" s="9">
        <f>'System Parameters'!E34</f>
        <v>0</v>
      </c>
      <c r="O82" s="9">
        <f>'System Parameters'!F34</f>
        <v>0</v>
      </c>
      <c r="P82" s="9">
        <f>'System Parameters'!G34</f>
        <v>0</v>
      </c>
      <c r="Q82" s="9">
        <f>'System Parameters'!H34</f>
        <v>0</v>
      </c>
    </row>
    <row r="83" spans="1:17" ht="13" x14ac:dyDescent="0.15">
      <c r="A83" s="9">
        <f>'System Parameters'!A35</f>
        <v>0</v>
      </c>
      <c r="B83" s="9">
        <f>'System Parameters'!B35</f>
        <v>0</v>
      </c>
      <c r="C83" s="9">
        <f>'System Parameters'!C35</f>
        <v>0</v>
      </c>
      <c r="D83" s="9">
        <f>'System Parameters'!D35</f>
        <v>0</v>
      </c>
      <c r="J83" s="9">
        <f>'System Parameters'!F35</f>
        <v>0</v>
      </c>
      <c r="K83" s="9">
        <f>'System Parameters'!G35</f>
        <v>0</v>
      </c>
      <c r="L83" s="9">
        <f>'System Parameters'!H35</f>
        <v>0</v>
      </c>
      <c r="M83" s="9">
        <f>'System Parameters'!I35</f>
        <v>0</v>
      </c>
      <c r="N83" s="9">
        <f>'System Parameters'!J35</f>
        <v>0</v>
      </c>
      <c r="O83" s="9" t="e">
        <f t="shared" ref="O83:P83" si="24">#REF!</f>
        <v>#REF!</v>
      </c>
      <c r="P83" s="9" t="e">
        <f t="shared" si="24"/>
        <v>#REF!</v>
      </c>
    </row>
    <row r="84" spans="1:17" ht="13" x14ac:dyDescent="0.15">
      <c r="A84" s="9">
        <f>'System Parameters'!A36</f>
        <v>0</v>
      </c>
      <c r="B84" s="9">
        <f>'System Parameters'!B36</f>
        <v>0</v>
      </c>
      <c r="C84" s="9">
        <f>'System Parameters'!C36</f>
        <v>0</v>
      </c>
      <c r="D84" s="9">
        <f>'System Parameters'!D36</f>
        <v>0</v>
      </c>
      <c r="J84" s="9">
        <f>'System Parameters'!F36</f>
        <v>0</v>
      </c>
      <c r="K84" s="9">
        <f>'System Parameters'!G36</f>
        <v>0</v>
      </c>
      <c r="L84" s="9">
        <f>'System Parameters'!H36</f>
        <v>0</v>
      </c>
      <c r="M84" s="9">
        <f>'System Parameters'!I36</f>
        <v>0</v>
      </c>
      <c r="N84" s="9">
        <f>'System Parameters'!J36</f>
        <v>0</v>
      </c>
      <c r="O84" s="9" t="e">
        <f t="shared" ref="O84:P84" si="25">#REF!</f>
        <v>#REF!</v>
      </c>
      <c r="P84" s="9" t="e">
        <f t="shared" si="25"/>
        <v>#REF!</v>
      </c>
    </row>
    <row r="85" spans="1:17" ht="13" x14ac:dyDescent="0.15">
      <c r="A85" s="9">
        <f>'System Parameters'!A37</f>
        <v>0</v>
      </c>
      <c r="B85" s="9">
        <f>'System Parameters'!K24</f>
        <v>0</v>
      </c>
      <c r="C85" s="9">
        <f>'System Parameters'!L24</f>
        <v>0</v>
      </c>
      <c r="D85" s="9">
        <f>'System Parameters'!M24</f>
        <v>0</v>
      </c>
      <c r="J85" s="9">
        <f>'System Parameters'!O24</f>
        <v>0</v>
      </c>
      <c r="K85" s="9">
        <f>'System Parameters'!P24</f>
        <v>0</v>
      </c>
      <c r="L85" s="9">
        <f>'System Parameters'!Q24</f>
        <v>0</v>
      </c>
      <c r="M85" s="9">
        <f>'System Parameters'!I37</f>
        <v>0</v>
      </c>
      <c r="N85" s="9">
        <f>'System Parameters'!J37</f>
        <v>0</v>
      </c>
      <c r="O85" s="9" t="e">
        <f t="shared" ref="O85:P85" si="26">#REF!</f>
        <v>#REF!</v>
      </c>
      <c r="P85" s="9" t="e">
        <f t="shared" si="26"/>
        <v>#REF!</v>
      </c>
    </row>
    <row r="86" spans="1:17" ht="13" x14ac:dyDescent="0.15">
      <c r="A86" s="9" t="str">
        <f>'System Parameters'!A38</f>
        <v>System Parameters (defined by hardware)</v>
      </c>
      <c r="B86" s="9">
        <f>'System Parameters'!K25</f>
        <v>0</v>
      </c>
      <c r="C86" s="9" t="e">
        <f t="shared" ref="C86:D86" si="27">#REF!</f>
        <v>#REF!</v>
      </c>
      <c r="D86" s="9" t="e">
        <f t="shared" si="27"/>
        <v>#REF!</v>
      </c>
      <c r="J86" s="9" t="e">
        <f t="shared" ref="J86:K86" si="28">#REF!</f>
        <v>#REF!</v>
      </c>
      <c r="K86" s="9" t="e">
        <f t="shared" si="28"/>
        <v>#REF!</v>
      </c>
      <c r="L86" s="9">
        <f>'System Parameters'!Q25</f>
        <v>0</v>
      </c>
      <c r="M86" s="9">
        <f>'System Parameters'!I38</f>
        <v>0</v>
      </c>
      <c r="N86" s="9">
        <f>'System Parameters'!J38</f>
        <v>0</v>
      </c>
      <c r="O86" s="9" t="e">
        <f t="shared" ref="O86:P86" si="29">#REF!</f>
        <v>#REF!</v>
      </c>
      <c r="P86" s="9" t="e">
        <f t="shared" si="29"/>
        <v>#REF!</v>
      </c>
    </row>
    <row r="87" spans="1:17" ht="13" x14ac:dyDescent="0.15">
      <c r="A87" s="9" t="str">
        <f>'System Parameters'!L25</f>
        <v>Total power in profile (mw)</v>
      </c>
      <c r="B87" s="9">
        <f>'System Parameters'!M25</f>
        <v>0</v>
      </c>
      <c r="C87" s="9">
        <f>'System Parameters'!N25</f>
        <v>0</v>
      </c>
      <c r="L87" s="9">
        <f>'System Parameters'!Q26</f>
        <v>0</v>
      </c>
      <c r="M87" s="9">
        <f>'System Parameters'!I39</f>
        <v>0</v>
      </c>
      <c r="N87" s="9">
        <f>'System Parameters'!J39</f>
        <v>0</v>
      </c>
      <c r="O87" s="9">
        <f>'System Parameters'!K39</f>
        <v>0</v>
      </c>
      <c r="P87" s="9">
        <f>'System Parameters'!L39</f>
        <v>0</v>
      </c>
    </row>
    <row r="88" spans="1:17" ht="13" x14ac:dyDescent="0.15">
      <c r="A88" s="9" t="str">
        <f>'System Parameters'!L26</f>
        <v>"off"</v>
      </c>
      <c r="B88" s="9">
        <f>SUMPRODUCT(B56:B76, $N56:$N76)</f>
        <v>90.64</v>
      </c>
      <c r="C88" s="9" t="str">
        <f>'System Parameters'!N26</f>
        <v>mW</v>
      </c>
      <c r="D88" s="9">
        <f t="shared" ref="D88:I88" si="30">SUMPRODUCT(D56:D76, $N56:$N76)</f>
        <v>90.64</v>
      </c>
      <c r="E88" s="9">
        <f t="shared" si="30"/>
        <v>90.64</v>
      </c>
      <c r="F88" s="9">
        <f t="shared" si="30"/>
        <v>90.551000000000002</v>
      </c>
      <c r="G88" s="9">
        <f t="shared" si="30"/>
        <v>90.64</v>
      </c>
      <c r="H88" s="9">
        <f t="shared" si="30"/>
        <v>82.04</v>
      </c>
      <c r="I88" s="9">
        <f t="shared" si="30"/>
        <v>90.64</v>
      </c>
      <c r="L88" s="9">
        <f>'System Parameters'!Q27</f>
        <v>0</v>
      </c>
      <c r="M88" s="9">
        <f>'System Parameters'!I40</f>
        <v>0</v>
      </c>
      <c r="N88" s="9">
        <f>'System Parameters'!J40</f>
        <v>0</v>
      </c>
      <c r="O88" s="9">
        <f>'System Parameters'!K40</f>
        <v>0</v>
      </c>
      <c r="P88" s="9">
        <f>'System Parameters'!L40</f>
        <v>0</v>
      </c>
    </row>
    <row r="89" spans="1:17" ht="13" x14ac:dyDescent="0.15">
      <c r="A89" s="9" t="str">
        <f>'System Parameters'!L27</f>
        <v>"sensing"</v>
      </c>
      <c r="B89" s="9">
        <f>SUMPRODUCT(B56:B76,$O56:$O76)</f>
        <v>102.7122</v>
      </c>
      <c r="C89" s="9" t="str">
        <f>'System Parameters'!N27</f>
        <v>mW</v>
      </c>
      <c r="D89" s="9">
        <f t="shared" ref="D89:I89" si="31">SUMPRODUCT(D56:D76,$O56:$O76)</f>
        <v>102.4037</v>
      </c>
      <c r="E89" s="9">
        <f t="shared" si="31"/>
        <v>102.7122</v>
      </c>
      <c r="F89" s="9">
        <f t="shared" si="31"/>
        <v>102.62497999999999</v>
      </c>
      <c r="G89" s="9">
        <f t="shared" si="31"/>
        <v>101.6322</v>
      </c>
      <c r="H89" s="9">
        <f t="shared" si="31"/>
        <v>94.284199999999998</v>
      </c>
      <c r="I89" s="9">
        <f t="shared" si="31"/>
        <v>102.7122</v>
      </c>
      <c r="L89" s="9">
        <f>'System Parameters'!Q28</f>
        <v>0</v>
      </c>
      <c r="M89" s="9">
        <f>'System Parameters'!I41</f>
        <v>0</v>
      </c>
      <c r="N89" s="9">
        <f>'System Parameters'!J41</f>
        <v>0</v>
      </c>
      <c r="O89" s="9">
        <f>'System Parameters'!K41</f>
        <v>0</v>
      </c>
      <c r="P89" s="9">
        <f>'System Parameters'!L41</f>
        <v>0</v>
      </c>
    </row>
    <row r="90" spans="1:17" ht="13" x14ac:dyDescent="0.15">
      <c r="A90" s="9" t="str">
        <f>'System Parameters'!L28</f>
        <v>"interactive"</v>
      </c>
      <c r="B90" s="9">
        <f>SUMPRODUCT(B56:B76, $P56:$P76)</f>
        <v>573.85700000000008</v>
      </c>
      <c r="C90" s="9" t="str">
        <f>'System Parameters'!N28</f>
        <v>mW</v>
      </c>
      <c r="D90" s="9">
        <f t="shared" ref="D90:I90" si="32">SUMPRODUCT(D56:D76, $P56:$P76)</f>
        <v>561.51700000000005</v>
      </c>
      <c r="E90" s="9">
        <f t="shared" si="32"/>
        <v>573.80630000000008</v>
      </c>
      <c r="F90" s="9">
        <f t="shared" si="32"/>
        <v>573.85700000000008</v>
      </c>
      <c r="G90" s="9">
        <f t="shared" si="32"/>
        <v>530.65700000000004</v>
      </c>
      <c r="H90" s="9">
        <f t="shared" si="32"/>
        <v>572.13700000000006</v>
      </c>
      <c r="I90" s="9">
        <f t="shared" si="32"/>
        <v>573.85700000000008</v>
      </c>
      <c r="L90" s="9">
        <f>'System Parameters'!Q29</f>
        <v>0</v>
      </c>
      <c r="M90" s="9">
        <f>'System Parameters'!I42</f>
        <v>0</v>
      </c>
      <c r="N90" s="9">
        <f>'System Parameters'!J42</f>
        <v>0</v>
      </c>
      <c r="O90" s="9">
        <f>'System Parameters'!K42</f>
        <v>0</v>
      </c>
      <c r="P90" s="9">
        <f>'System Parameters'!L42</f>
        <v>0</v>
      </c>
    </row>
    <row r="91" spans="1:17" ht="13" x14ac:dyDescent="0.15">
      <c r="A91" s="9">
        <f>'System Parameters'!L29</f>
        <v>0</v>
      </c>
      <c r="B91" s="9">
        <f>'System Parameters'!M29</f>
        <v>0</v>
      </c>
      <c r="C91" s="9">
        <f>'System Parameters'!N29</f>
        <v>0</v>
      </c>
      <c r="D91" s="9">
        <f>'System Parameters'!O29</f>
        <v>0</v>
      </c>
      <c r="E91" s="9">
        <f>'System Parameters'!P29</f>
        <v>0</v>
      </c>
      <c r="F91" s="9">
        <f>'System Parameters'!Q30</f>
        <v>0</v>
      </c>
      <c r="G91" s="9">
        <f>'System Parameters'!I43</f>
        <v>0</v>
      </c>
      <c r="H91" s="9">
        <f>'System Parameters'!O43</f>
        <v>0</v>
      </c>
      <c r="I91" s="9">
        <f>'System Parameters'!P43</f>
        <v>0</v>
      </c>
      <c r="L91" s="9">
        <f>'System Parameters'!Q30</f>
        <v>0</v>
      </c>
      <c r="M91" s="9">
        <f>'System Parameters'!I43</f>
        <v>0</v>
      </c>
      <c r="N91" s="9">
        <f>'System Parameters'!J43</f>
        <v>0</v>
      </c>
      <c r="O91" s="9">
        <f>'System Parameters'!K43</f>
        <v>0</v>
      </c>
      <c r="P91" s="9">
        <f>'System Parameters'!L43</f>
        <v>0</v>
      </c>
    </row>
    <row r="92" spans="1:17" ht="13" x14ac:dyDescent="0.15">
      <c r="A92" s="9" t="str">
        <f>'System Parameters'!L30</f>
        <v>Effective Battery Capacity</v>
      </c>
      <c r="B92" s="9">
        <f>'System Parameters'!M30</f>
        <v>0</v>
      </c>
      <c r="C92" s="9">
        <f>'System Parameters'!N30</f>
        <v>0</v>
      </c>
      <c r="D92" s="9">
        <f>'System Parameters'!O30</f>
        <v>0</v>
      </c>
      <c r="E92" s="9">
        <f>'System Parameters'!P30</f>
        <v>0</v>
      </c>
      <c r="F92" s="9">
        <f>'System Parameters'!Q31</f>
        <v>0</v>
      </c>
      <c r="G92" s="9">
        <f>'System Parameters'!I44</f>
        <v>0</v>
      </c>
      <c r="H92" s="9">
        <f>'System Parameters'!O44</f>
        <v>0</v>
      </c>
      <c r="I92" s="9">
        <f>'System Parameters'!P44</f>
        <v>0</v>
      </c>
      <c r="J92" s="9">
        <f>'System Parameters'!O30</f>
        <v>0</v>
      </c>
      <c r="K92" s="9">
        <f>'System Parameters'!P30</f>
        <v>0</v>
      </c>
      <c r="L92" s="9">
        <f>'System Parameters'!Q31</f>
        <v>0</v>
      </c>
      <c r="M92" s="9">
        <f>'System Parameters'!I44</f>
        <v>0</v>
      </c>
      <c r="N92" s="9">
        <f>'System Parameters'!J44</f>
        <v>0</v>
      </c>
      <c r="O92" s="9">
        <f>'System Parameters'!K44</f>
        <v>0</v>
      </c>
      <c r="P92" s="9">
        <f>'System Parameters'!L44</f>
        <v>0</v>
      </c>
    </row>
    <row r="93" spans="1:17" ht="13" x14ac:dyDescent="0.15">
      <c r="A93" s="9">
        <f>'System Parameters'!L31</f>
        <v>0</v>
      </c>
      <c r="B93" s="9">
        <f>B80*B81*B82</f>
        <v>4752</v>
      </c>
      <c r="C93" s="9" t="str">
        <f>'System Parameters'!N31</f>
        <v>mW*h</v>
      </c>
      <c r="D93" s="9">
        <f t="shared" ref="D93:I93" si="33">$B93</f>
        <v>4752</v>
      </c>
      <c r="E93" s="9">
        <f t="shared" si="33"/>
        <v>4752</v>
      </c>
      <c r="F93" s="9">
        <f t="shared" si="33"/>
        <v>4752</v>
      </c>
      <c r="G93" s="9">
        <f t="shared" si="33"/>
        <v>4752</v>
      </c>
      <c r="H93" s="9">
        <f t="shared" si="33"/>
        <v>4752</v>
      </c>
      <c r="I93" s="9">
        <f t="shared" si="33"/>
        <v>4752</v>
      </c>
      <c r="J93" s="9">
        <f>'System Parameters'!O31</f>
        <v>0</v>
      </c>
      <c r="K93" s="9">
        <f>'System Parameters'!P31</f>
        <v>0</v>
      </c>
      <c r="L93" s="9">
        <f>'System Parameters'!Q32</f>
        <v>0</v>
      </c>
      <c r="M93" s="9">
        <f>'System Parameters'!I45</f>
        <v>0</v>
      </c>
      <c r="N93" s="9">
        <f>'System Parameters'!J45</f>
        <v>0</v>
      </c>
      <c r="O93" s="9">
        <f>'System Parameters'!K45</f>
        <v>0</v>
      </c>
      <c r="P93" s="9">
        <f>'System Parameters'!L45</f>
        <v>0</v>
      </c>
    </row>
    <row r="94" spans="1:17" ht="13" x14ac:dyDescent="0.15">
      <c r="A94" s="9">
        <f>'System Parameters'!L32</f>
        <v>0</v>
      </c>
      <c r="B94" s="9">
        <f>'System Parameters'!M32</f>
        <v>0</v>
      </c>
      <c r="C94" s="9">
        <f>'System Parameters'!N32</f>
        <v>0</v>
      </c>
      <c r="D94" s="9">
        <f>'System Parameters'!O32</f>
        <v>0</v>
      </c>
      <c r="E94" s="9">
        <f>'System Parameters'!P32</f>
        <v>0</v>
      </c>
      <c r="F94" s="9">
        <f>'System Parameters'!Q33</f>
        <v>0</v>
      </c>
      <c r="G94" s="9">
        <f>'System Parameters'!I46</f>
        <v>0</v>
      </c>
      <c r="H94" s="9">
        <f>'System Parameters'!O46</f>
        <v>0</v>
      </c>
      <c r="I94" s="9">
        <f>'System Parameters'!P46</f>
        <v>0</v>
      </c>
      <c r="J94" s="9">
        <f>'System Parameters'!O32</f>
        <v>0</v>
      </c>
      <c r="K94" s="9">
        <f>'System Parameters'!P32</f>
        <v>0</v>
      </c>
      <c r="L94" s="9">
        <f>'System Parameters'!Q33</f>
        <v>0</v>
      </c>
      <c r="M94" s="9">
        <f>'System Parameters'!I46</f>
        <v>0</v>
      </c>
      <c r="N94" s="9">
        <f>'System Parameters'!J46</f>
        <v>0</v>
      </c>
      <c r="O94" s="9">
        <f>'System Parameters'!K46</f>
        <v>0</v>
      </c>
      <c r="P94" s="9">
        <f>'System Parameters'!L46</f>
        <v>0</v>
      </c>
    </row>
    <row r="95" spans="1:17" ht="13" x14ac:dyDescent="0.15">
      <c r="A95" s="9" t="str">
        <f>'System Parameters'!L33</f>
        <v>Days of Use</v>
      </c>
      <c r="B95" s="9">
        <f>B93/($N78*B88+$O78*B89+$P78*B90)</f>
        <v>1.143264956850409</v>
      </c>
      <c r="C95" s="9" t="str">
        <f>'System Parameters'!N33</f>
        <v>days</v>
      </c>
      <c r="D95" s="9">
        <f t="shared" ref="D95:I95" si="34">D93/($N78*D88+$O78*D89+$P78*D90)</f>
        <v>1.1573524957653856</v>
      </c>
      <c r="E95" s="9">
        <f t="shared" si="34"/>
        <v>1.143320740444538</v>
      </c>
      <c r="F95" s="9">
        <f t="shared" si="34"/>
        <v>1.1437528019777448</v>
      </c>
      <c r="G95" s="9">
        <f t="shared" si="34"/>
        <v>1.1941508321060115</v>
      </c>
      <c r="H95" s="9">
        <f t="shared" si="34"/>
        <v>1.1944726081691468</v>
      </c>
      <c r="I95" s="9">
        <f t="shared" si="34"/>
        <v>1.143264956850409</v>
      </c>
      <c r="J95" s="9">
        <f>'System Parameters'!O33</f>
        <v>0</v>
      </c>
      <c r="K95" s="9">
        <f>'System Parameters'!P33</f>
        <v>0</v>
      </c>
      <c r="L95" s="9">
        <f>'System Parameters'!Q34</f>
        <v>0</v>
      </c>
      <c r="M95" s="9">
        <f>'System Parameters'!I47</f>
        <v>0</v>
      </c>
      <c r="N95" s="9">
        <f>'System Parameters'!J47</f>
        <v>0</v>
      </c>
      <c r="O95" s="9">
        <f>'System Parameters'!K47</f>
        <v>0</v>
      </c>
      <c r="P95" s="9">
        <f>'System Parameters'!L47</f>
        <v>0</v>
      </c>
    </row>
    <row r="96" spans="1:17" ht="13" x14ac:dyDescent="0.15">
      <c r="A96" s="9" t="str">
        <f>'System Parameters'!L34</f>
        <v>Hours of Use</v>
      </c>
      <c r="B96" s="9">
        <f>B95*24</f>
        <v>27.438358964409815</v>
      </c>
      <c r="C96" s="9" t="str">
        <f>'System Parameters'!N34</f>
        <v>hours</v>
      </c>
      <c r="D96" s="9">
        <f t="shared" ref="D96:I96" si="35">D95*24</f>
        <v>27.776459898369254</v>
      </c>
      <c r="E96" s="9">
        <f t="shared" si="35"/>
        <v>27.439697770668914</v>
      </c>
      <c r="F96" s="9">
        <f t="shared" si="35"/>
        <v>27.450067247465874</v>
      </c>
      <c r="G96" s="9">
        <f t="shared" si="35"/>
        <v>28.659619970544277</v>
      </c>
      <c r="H96" s="9">
        <f t="shared" si="35"/>
        <v>28.667342596059523</v>
      </c>
      <c r="I96" s="9">
        <f t="shared" si="35"/>
        <v>27.438358964409815</v>
      </c>
      <c r="J96" s="9">
        <f>'System Parameters'!O34</f>
        <v>0</v>
      </c>
      <c r="K96" s="9">
        <f>'System Parameters'!P34</f>
        <v>0</v>
      </c>
      <c r="L96" s="9">
        <f>'System Parameters'!Q35</f>
        <v>0</v>
      </c>
      <c r="M96" s="9">
        <f>'System Parameters'!I48</f>
        <v>0</v>
      </c>
      <c r="N96" s="9">
        <f>'System Parameters'!J48</f>
        <v>0</v>
      </c>
      <c r="O96" s="9">
        <f>'System Parameters'!K48</f>
        <v>0</v>
      </c>
      <c r="P96" s="9">
        <f>'System Parameters'!L48</f>
        <v>0</v>
      </c>
    </row>
    <row r="97" spans="1:16" ht="13" x14ac:dyDescent="0.15">
      <c r="A97" s="9">
        <f>'System Parameters'!A49</f>
        <v>0</v>
      </c>
      <c r="B97" s="9">
        <f>'System Parameters'!K36</f>
        <v>0</v>
      </c>
      <c r="C97" s="9">
        <f>'System Parameters'!L36</f>
        <v>0</v>
      </c>
      <c r="D97" s="9">
        <f>'System Parameters'!M36</f>
        <v>0</v>
      </c>
      <c r="J97" s="9">
        <f>'System Parameters'!O36</f>
        <v>0</v>
      </c>
      <c r="K97" s="9">
        <f>'System Parameters'!P36</f>
        <v>0</v>
      </c>
      <c r="L97" s="9">
        <f>'System Parameters'!Q36</f>
        <v>0</v>
      </c>
      <c r="M97" s="9">
        <f>'System Parameters'!I49</f>
        <v>0</v>
      </c>
      <c r="N97" s="9">
        <f>'System Parameters'!J49</f>
        <v>0</v>
      </c>
      <c r="O97" s="9">
        <f>'System Parameters'!K49</f>
        <v>0</v>
      </c>
      <c r="P97" s="9">
        <f>'System Parameters'!L49</f>
        <v>0</v>
      </c>
    </row>
    <row r="98" spans="1:16" ht="13" x14ac:dyDescent="0.15">
      <c r="A98" s="9" t="s">
        <v>32</v>
      </c>
      <c r="B98" s="9">
        <f>'System Parameters'!K37</f>
        <v>0</v>
      </c>
      <c r="C98" s="9">
        <f>'System Parameters'!L37</f>
        <v>0</v>
      </c>
      <c r="D98" s="24">
        <f t="shared" ref="D98:I98" si="36">D96/$B96-1</f>
        <v>1.2322199530882649E-2</v>
      </c>
      <c r="E98" s="24">
        <f t="shared" si="36"/>
        <v>4.879323361994814E-5</v>
      </c>
      <c r="F98" s="24">
        <f t="shared" si="36"/>
        <v>4.267122196064399E-4</v>
      </c>
      <c r="G98" s="24">
        <f t="shared" si="36"/>
        <v>4.4509258287587672E-2</v>
      </c>
      <c r="H98" s="24">
        <f t="shared" si="36"/>
        <v>4.479071190969619E-2</v>
      </c>
      <c r="I98" s="24">
        <f t="shared" si="36"/>
        <v>0</v>
      </c>
      <c r="J98" s="9">
        <f>'System Parameters'!O37</f>
        <v>0</v>
      </c>
      <c r="K98" s="9">
        <f>'System Parameters'!P37</f>
        <v>0</v>
      </c>
      <c r="L98" s="9">
        <f>'System Parameters'!Q37</f>
        <v>0</v>
      </c>
      <c r="M98" s="9">
        <f>'System Parameters'!I50</f>
        <v>0</v>
      </c>
      <c r="N98" s="9">
        <f>'System Parameters'!J50</f>
        <v>0</v>
      </c>
      <c r="O98" s="9">
        <f>'System Parameters'!K50</f>
        <v>0</v>
      </c>
      <c r="P98" s="9">
        <f>'System Parameters'!L50</f>
        <v>0</v>
      </c>
    </row>
    <row r="99" spans="1:16" ht="13" x14ac:dyDescent="0.15">
      <c r="A99" s="9" t="s">
        <v>33</v>
      </c>
      <c r="B99" s="9">
        <f>'System Parameters'!K38</f>
        <v>0</v>
      </c>
      <c r="C99" s="9">
        <f>'System Parameters'!L38</f>
        <v>0</v>
      </c>
      <c r="D99" s="9" t="s">
        <v>34</v>
      </c>
      <c r="E99" s="9" t="s">
        <v>35</v>
      </c>
      <c r="F99" s="9" t="s">
        <v>36</v>
      </c>
      <c r="G99" s="9" t="s">
        <v>37</v>
      </c>
      <c r="H99" s="9" t="s">
        <v>39</v>
      </c>
      <c r="I99" s="9" t="s">
        <v>40</v>
      </c>
      <c r="J99" s="9">
        <f>'System Parameters'!O38</f>
        <v>0</v>
      </c>
      <c r="K99" s="9">
        <f>'System Parameters'!P38</f>
        <v>0</v>
      </c>
      <c r="L99" s="9">
        <f>'System Parameters'!Q38</f>
        <v>0</v>
      </c>
      <c r="M99" s="9">
        <f>'System Parameters'!I51</f>
        <v>0</v>
      </c>
      <c r="N99" s="9">
        <f>'System Parameters'!J51</f>
        <v>0</v>
      </c>
      <c r="O99" s="9">
        <f>'System Parameters'!K51</f>
        <v>0</v>
      </c>
      <c r="P99" s="9">
        <f>'System Parameters'!L51</f>
        <v>0</v>
      </c>
    </row>
    <row r="100" spans="1:16" ht="13" x14ac:dyDescent="0.15">
      <c r="A100" s="9" t="str">
        <f>'System Parameters'!A52</f>
        <v>Idle</v>
      </c>
      <c r="B100" s="9">
        <f>'System Parameters'!B52</f>
        <v>1.65E-3</v>
      </c>
      <c r="C100" s="9" t="str">
        <f>'System Parameters'!C52</f>
        <v>mW</v>
      </c>
      <c r="D100" s="9">
        <f>'System Parameters'!D52</f>
        <v>0</v>
      </c>
      <c r="J100" s="9">
        <f>'System Parameters'!F52</f>
        <v>0</v>
      </c>
      <c r="K100" s="9">
        <f>'System Parameters'!G52</f>
        <v>0</v>
      </c>
      <c r="L100" s="9">
        <f>'System Parameters'!H52</f>
        <v>0</v>
      </c>
      <c r="M100" s="9">
        <f>'System Parameters'!I52</f>
        <v>0</v>
      </c>
      <c r="N100" s="9">
        <f>'System Parameters'!J52</f>
        <v>0</v>
      </c>
      <c r="O100" s="9">
        <f>'System Parameters'!K52</f>
        <v>0</v>
      </c>
      <c r="P100" s="9">
        <f>'System Parameters'!L52</f>
        <v>0</v>
      </c>
    </row>
    <row r="101" spans="1:16" ht="13" x14ac:dyDescent="0.15">
      <c r="A101" s="9" t="str">
        <f>'System Parameters'!A53</f>
        <v>Off</v>
      </c>
      <c r="B101" s="9">
        <f>'System Parameters'!B53</f>
        <v>1.65E-3</v>
      </c>
      <c r="C101" s="9" t="str">
        <f>'System Parameters'!C53</f>
        <v>mW</v>
      </c>
      <c r="D101" s="9">
        <f>'System Parameters'!D53</f>
        <v>0</v>
      </c>
      <c r="J101" s="9">
        <f>'System Parameters'!F53</f>
        <v>0.8</v>
      </c>
      <c r="K101" s="9">
        <f>'System Parameters'!G53</f>
        <v>0</v>
      </c>
      <c r="L101" s="9">
        <f>'System Parameters'!H53</f>
        <v>0</v>
      </c>
      <c r="M101" s="9">
        <f>'System Parameters'!I53</f>
        <v>0</v>
      </c>
      <c r="N101" s="9">
        <f>'System Parameters'!J53</f>
        <v>0</v>
      </c>
      <c r="O101" s="9">
        <f>'System Parameters'!K53</f>
        <v>0</v>
      </c>
      <c r="P101" s="9">
        <f>'System Parameters'!L53</f>
        <v>0</v>
      </c>
    </row>
    <row r="102" spans="1:16" ht="13" x14ac:dyDescent="0.15">
      <c r="A102" s="9">
        <f>'System Parameters'!A54</f>
        <v>0</v>
      </c>
      <c r="B102" s="9">
        <f>'System Parameters'!B54</f>
        <v>0</v>
      </c>
      <c r="C102" s="9">
        <f>'System Parameters'!C54</f>
        <v>0</v>
      </c>
      <c r="D102" s="9">
        <f>'System Parameters'!D54</f>
        <v>0</v>
      </c>
      <c r="J102" s="9">
        <f>'System Parameters'!F54</f>
        <v>0</v>
      </c>
      <c r="K102" s="9">
        <f>'System Parameters'!G54</f>
        <v>0</v>
      </c>
      <c r="L102" s="9">
        <f>'System Parameters'!H54</f>
        <v>0</v>
      </c>
      <c r="M102" s="9">
        <f>'System Parameters'!I54</f>
        <v>0</v>
      </c>
      <c r="N102" s="9">
        <f>'System Parameters'!J54</f>
        <v>0</v>
      </c>
      <c r="O102" s="9">
        <f>'System Parameters'!K54</f>
        <v>0</v>
      </c>
      <c r="P102" s="9">
        <f>'System Parameters'!L54</f>
        <v>0</v>
      </c>
    </row>
    <row r="103" spans="1:16" ht="13" x14ac:dyDescent="0.15">
      <c r="A103" s="9">
        <f>'System Parameters'!A55</f>
        <v>0</v>
      </c>
      <c r="B103" s="9">
        <f>'System Parameters'!B55</f>
        <v>0</v>
      </c>
      <c r="C103" s="9">
        <f>'System Parameters'!C55</f>
        <v>0</v>
      </c>
      <c r="D103" s="9">
        <f>'System Parameters'!D55</f>
        <v>0</v>
      </c>
      <c r="J103" s="9">
        <f>'System Parameters'!F55</f>
        <v>0</v>
      </c>
      <c r="K103" s="9">
        <f>'System Parameters'!G55</f>
        <v>0</v>
      </c>
      <c r="L103" s="9">
        <f>'System Parameters'!H55</f>
        <v>0</v>
      </c>
      <c r="M103" s="9">
        <f>'System Parameters'!I55</f>
        <v>0</v>
      </c>
      <c r="N103" s="9">
        <f>'System Parameters'!J55</f>
        <v>0</v>
      </c>
      <c r="O103" s="9">
        <f>'System Parameters'!K55</f>
        <v>0</v>
      </c>
      <c r="P103" s="9">
        <f>'System Parameters'!L55</f>
        <v>0</v>
      </c>
    </row>
    <row r="104" spans="1:16" ht="13" x14ac:dyDescent="0.15">
      <c r="A104" s="9">
        <f>'System Parameters'!A56</f>
        <v>0</v>
      </c>
      <c r="B104" s="9">
        <f>'System Parameters'!B56</f>
        <v>0</v>
      </c>
      <c r="C104" s="9">
        <f>'System Parameters'!C56</f>
        <v>0</v>
      </c>
      <c r="D104" s="9">
        <f>'System Parameters'!D56</f>
        <v>0</v>
      </c>
      <c r="J104" s="9">
        <f>'System Parameters'!F56</f>
        <v>0</v>
      </c>
      <c r="K104" s="9">
        <f>'System Parameters'!G56</f>
        <v>0</v>
      </c>
      <c r="L104" s="9">
        <f>'System Parameters'!H56</f>
        <v>0</v>
      </c>
      <c r="M104" s="9">
        <f>'System Parameters'!I56</f>
        <v>0</v>
      </c>
      <c r="N104" s="9">
        <f>'System Parameters'!J56</f>
        <v>0</v>
      </c>
      <c r="O104" s="9">
        <f>'System Parameters'!K56</f>
        <v>0</v>
      </c>
      <c r="P104" s="9">
        <f>'System Parameters'!L56</f>
        <v>0</v>
      </c>
    </row>
    <row r="105" spans="1:16" ht="13" x14ac:dyDescent="0.15">
      <c r="A105" s="9">
        <f>'System Parameters'!A57</f>
        <v>0</v>
      </c>
      <c r="B105" s="9">
        <f>'System Parameters'!B57</f>
        <v>0</v>
      </c>
      <c r="C105" s="9">
        <f>'System Parameters'!C57</f>
        <v>0</v>
      </c>
      <c r="D105" s="9">
        <f>'System Parameters'!D57</f>
        <v>0</v>
      </c>
      <c r="J105" s="9">
        <f>'System Parameters'!F57</f>
        <v>0</v>
      </c>
      <c r="K105" s="9">
        <f>'System Parameters'!G57</f>
        <v>0</v>
      </c>
      <c r="L105" s="9">
        <f>'System Parameters'!H57</f>
        <v>0</v>
      </c>
      <c r="M105" s="9">
        <f>'System Parameters'!I57</f>
        <v>0</v>
      </c>
      <c r="N105" s="9">
        <f>'System Parameters'!J57</f>
        <v>0</v>
      </c>
      <c r="O105" s="9">
        <f>'System Parameters'!K57</f>
        <v>0</v>
      </c>
      <c r="P105" s="9">
        <f>'System Parameters'!L57</f>
        <v>0</v>
      </c>
    </row>
    <row r="106" spans="1:16" ht="13" x14ac:dyDescent="0.15">
      <c r="A106" s="9">
        <f>'System Parameters'!A58</f>
        <v>0</v>
      </c>
      <c r="B106" s="9">
        <f>'System Parameters'!B58</f>
        <v>0</v>
      </c>
      <c r="C106" s="9">
        <f>'System Parameters'!C58</f>
        <v>0</v>
      </c>
      <c r="D106" s="9">
        <f>'System Parameters'!D58</f>
        <v>0</v>
      </c>
      <c r="J106" s="9">
        <f>'System Parameters'!F58</f>
        <v>0</v>
      </c>
      <c r="K106" s="9">
        <f>'System Parameters'!G58</f>
        <v>0</v>
      </c>
      <c r="L106" s="9">
        <f>'System Parameters'!H58</f>
        <v>0</v>
      </c>
      <c r="M106" s="9">
        <f>'System Parameters'!I58</f>
        <v>0</v>
      </c>
      <c r="N106" s="9">
        <f>'System Parameters'!J58</f>
        <v>0</v>
      </c>
      <c r="O106" s="9">
        <f>'System Parameters'!K58</f>
        <v>0</v>
      </c>
      <c r="P106" s="9">
        <f>'System Parameters'!L58</f>
        <v>0</v>
      </c>
    </row>
    <row r="107" spans="1:16" ht="13" x14ac:dyDescent="0.15">
      <c r="A107" s="9">
        <f>'System Parameters'!A59</f>
        <v>0</v>
      </c>
      <c r="B107" s="9">
        <f>'System Parameters'!B59</f>
        <v>0</v>
      </c>
      <c r="C107" s="9">
        <f>'System Parameters'!C59</f>
        <v>0</v>
      </c>
      <c r="D107" s="9">
        <f>'System Parameters'!D59</f>
        <v>0</v>
      </c>
      <c r="J107" s="9">
        <f>'System Parameters'!F59</f>
        <v>0</v>
      </c>
      <c r="K107" s="9">
        <f>'System Parameters'!G59</f>
        <v>0</v>
      </c>
      <c r="L107" s="9">
        <f>'System Parameters'!H59</f>
        <v>0</v>
      </c>
      <c r="M107" s="9">
        <f>'System Parameters'!I59</f>
        <v>0</v>
      </c>
      <c r="N107" s="9">
        <f>'System Parameters'!J59</f>
        <v>0</v>
      </c>
      <c r="O107" s="9">
        <f>'System Parameters'!K59</f>
        <v>0</v>
      </c>
      <c r="P107" s="9">
        <f>'System Parameters'!L59</f>
        <v>0</v>
      </c>
    </row>
    <row r="108" spans="1:16" ht="13" x14ac:dyDescent="0.15">
      <c r="A108" s="9">
        <f>'System Parameters'!A60</f>
        <v>0</v>
      </c>
      <c r="B108" s="9">
        <f>'System Parameters'!B60</f>
        <v>0</v>
      </c>
      <c r="C108" s="9">
        <f>'System Parameters'!C60</f>
        <v>0</v>
      </c>
      <c r="D108" s="9">
        <f>'System Parameters'!D60</f>
        <v>0</v>
      </c>
      <c r="J108" s="9">
        <f>'System Parameters'!F60</f>
        <v>0</v>
      </c>
      <c r="K108" s="9">
        <f>'System Parameters'!G60</f>
        <v>0</v>
      </c>
      <c r="L108" s="9">
        <f>'System Parameters'!H60</f>
        <v>0</v>
      </c>
      <c r="M108" s="9">
        <f>'System Parameters'!I60</f>
        <v>0</v>
      </c>
      <c r="N108" s="9">
        <f>'System Parameters'!J60</f>
        <v>0</v>
      </c>
      <c r="O108" s="9">
        <f>'System Parameters'!K60</f>
        <v>0</v>
      </c>
      <c r="P108" s="9">
        <f>'System Parameters'!L60</f>
        <v>0</v>
      </c>
    </row>
    <row r="109" spans="1:16" ht="13" x14ac:dyDescent="0.15">
      <c r="A109" s="9">
        <f>'System Parameters'!A61</f>
        <v>0</v>
      </c>
      <c r="B109" s="9">
        <f>'System Parameters'!B61</f>
        <v>0</v>
      </c>
      <c r="C109" s="9">
        <f>'System Parameters'!C61</f>
        <v>0</v>
      </c>
      <c r="D109" s="9">
        <f>'System Parameters'!D61</f>
        <v>0</v>
      </c>
      <c r="J109" s="9">
        <f>'System Parameters'!F61</f>
        <v>0</v>
      </c>
      <c r="K109" s="9">
        <f>'System Parameters'!G61</f>
        <v>0</v>
      </c>
      <c r="L109" s="9">
        <f>'System Parameters'!H61</f>
        <v>0</v>
      </c>
      <c r="M109" s="9">
        <f>'System Parameters'!I61</f>
        <v>0</v>
      </c>
      <c r="N109" s="9">
        <f>'System Parameters'!J61</f>
        <v>0</v>
      </c>
      <c r="O109" s="9">
        <f>'System Parameters'!K61</f>
        <v>0</v>
      </c>
      <c r="P109" s="9">
        <f>'System Parameters'!L61</f>
        <v>0</v>
      </c>
    </row>
    <row r="110" spans="1:16" ht="13" x14ac:dyDescent="0.15">
      <c r="A110" s="9">
        <f>'System Parameters'!A62</f>
        <v>0</v>
      </c>
      <c r="B110" s="9">
        <f>'System Parameters'!B62</f>
        <v>0</v>
      </c>
      <c r="C110" s="9">
        <f>'System Parameters'!C62</f>
        <v>0</v>
      </c>
      <c r="D110" s="9">
        <f>'System Parameters'!D62</f>
        <v>0</v>
      </c>
      <c r="J110" s="9">
        <f>'System Parameters'!F62</f>
        <v>0</v>
      </c>
      <c r="K110" s="9">
        <f>'System Parameters'!G62</f>
        <v>0</v>
      </c>
      <c r="L110" s="9">
        <f>'System Parameters'!H62</f>
        <v>0</v>
      </c>
      <c r="M110" s="9">
        <f>'System Parameters'!I62</f>
        <v>0</v>
      </c>
      <c r="N110" s="9">
        <f>'System Parameters'!J62</f>
        <v>0</v>
      </c>
      <c r="O110" s="9">
        <f>'System Parameters'!K62</f>
        <v>0</v>
      </c>
      <c r="P110" s="9" t="str">
        <f>'System Parameters'!L62</f>
        <v>"sensing"</v>
      </c>
    </row>
    <row r="111" spans="1:16" ht="13" x14ac:dyDescent="0.15">
      <c r="A111" s="9">
        <f>'System Parameters'!A63</f>
        <v>0</v>
      </c>
      <c r="B111" s="9">
        <f>'System Parameters'!B63</f>
        <v>0</v>
      </c>
      <c r="C111" s="9">
        <f>'System Parameters'!C63</f>
        <v>0</v>
      </c>
      <c r="D111" s="9">
        <f>'System Parameters'!D63</f>
        <v>0</v>
      </c>
      <c r="J111" s="9">
        <f>'System Parameters'!F63</f>
        <v>0</v>
      </c>
      <c r="K111" s="9">
        <f>'System Parameters'!G63</f>
        <v>0</v>
      </c>
      <c r="L111" s="9">
        <f>'System Parameters'!H63</f>
        <v>0</v>
      </c>
      <c r="M111" s="9">
        <f>'System Parameters'!I63</f>
        <v>0</v>
      </c>
      <c r="N111" s="9">
        <f>'System Parameters'!J63</f>
        <v>0</v>
      </c>
      <c r="O111" s="9">
        <f>'System Parameters'!K63</f>
        <v>0</v>
      </c>
      <c r="P111" s="9" t="str">
        <f>'System Parameters'!L63</f>
        <v>"interactive"</v>
      </c>
    </row>
    <row r="112" spans="1:16" ht="13" x14ac:dyDescent="0.15">
      <c r="A112" s="9">
        <f>'System Parameters'!A64</f>
        <v>0</v>
      </c>
      <c r="B112" s="9">
        <f>'System Parameters'!B64</f>
        <v>0</v>
      </c>
      <c r="C112" s="9">
        <f>'System Parameters'!C64</f>
        <v>0</v>
      </c>
      <c r="D112" s="9">
        <f>'System Parameters'!D64</f>
        <v>0</v>
      </c>
      <c r="J112" s="9">
        <f>'System Parameters'!F64</f>
        <v>0</v>
      </c>
      <c r="K112" s="9">
        <f>'System Parameters'!G64</f>
        <v>0</v>
      </c>
      <c r="L112" s="9">
        <f>'System Parameters'!H64</f>
        <v>0</v>
      </c>
      <c r="M112" s="9">
        <f>'System Parameters'!I64</f>
        <v>0</v>
      </c>
      <c r="N112" s="9">
        <f>'System Parameters'!J64</f>
        <v>0</v>
      </c>
      <c r="O112" s="9">
        <f>'System Parameters'!K64</f>
        <v>0</v>
      </c>
      <c r="P112" s="9">
        <f>'System Parameters'!L64</f>
        <v>0</v>
      </c>
    </row>
    <row r="113" spans="1:16" ht="13" x14ac:dyDescent="0.15">
      <c r="A113" s="9">
        <f>'System Parameters'!A65</f>
        <v>0</v>
      </c>
      <c r="B113" s="9">
        <f>'System Parameters'!B65</f>
        <v>0</v>
      </c>
      <c r="C113" s="9">
        <f>'System Parameters'!C65</f>
        <v>0</v>
      </c>
      <c r="D113" s="9">
        <f>'System Parameters'!D65</f>
        <v>0</v>
      </c>
      <c r="J113" s="9">
        <f>'System Parameters'!F65</f>
        <v>4</v>
      </c>
      <c r="K113" s="9">
        <f>'System Parameters'!G65</f>
        <v>4</v>
      </c>
      <c r="L113" s="9" t="str">
        <f>'System Parameters'!H65</f>
        <v>hours/day typical usage</v>
      </c>
      <c r="M113" s="9">
        <f>'System Parameters'!I65</f>
        <v>0</v>
      </c>
      <c r="N113" s="9">
        <f>'System Parameters'!J65</f>
        <v>0</v>
      </c>
      <c r="O113" s="9">
        <f>'System Parameters'!K65</f>
        <v>0</v>
      </c>
      <c r="P113" s="9" t="str">
        <f>'System Parameters'!L65</f>
        <v>Effective Battery Capacity</v>
      </c>
    </row>
    <row r="114" spans="1:16" ht="13" x14ac:dyDescent="0.15">
      <c r="A114" s="9" t="str">
        <f>'System Parameters'!A66</f>
        <v>Battery</v>
      </c>
      <c r="B114" s="9">
        <f>'System Parameters'!B66</f>
        <v>0</v>
      </c>
      <c r="C114" s="9">
        <f>'System Parameters'!C66</f>
        <v>0</v>
      </c>
      <c r="D114" s="9">
        <f>'System Parameters'!D66</f>
        <v>0</v>
      </c>
      <c r="J114" s="9">
        <f>'System Parameters'!F66</f>
        <v>0</v>
      </c>
      <c r="K114" s="9">
        <f>'System Parameters'!G66</f>
        <v>0</v>
      </c>
      <c r="L114" s="9">
        <f>'System Parameters'!H66</f>
        <v>0</v>
      </c>
      <c r="M114" s="9">
        <f>'System Parameters'!I66</f>
        <v>0</v>
      </c>
      <c r="N114" s="9">
        <f>'System Parameters'!J66</f>
        <v>0</v>
      </c>
      <c r="O114" s="9">
        <f>'System Parameters'!K66</f>
        <v>0</v>
      </c>
      <c r="P114" s="9">
        <f>'System Parameters'!L66</f>
        <v>0</v>
      </c>
    </row>
    <row r="115" spans="1:16" ht="13" x14ac:dyDescent="0.15">
      <c r="A115" s="9" t="str">
        <f>'System Parameters'!A67</f>
        <v>Capacity</v>
      </c>
      <c r="B115" s="9">
        <f>'System Parameters'!B67</f>
        <v>150</v>
      </c>
      <c r="C115" s="9" t="str">
        <f>'System Parameters'!C67</f>
        <v>mAh</v>
      </c>
      <c r="D115" s="9">
        <f>'System Parameters'!D67</f>
        <v>0</v>
      </c>
      <c r="J115" s="9">
        <f>'System Parameters'!F67</f>
        <v>0</v>
      </c>
      <c r="K115" s="9">
        <f>'System Parameters'!G67</f>
        <v>0</v>
      </c>
      <c r="L115" s="9">
        <f>'System Parameters'!H67</f>
        <v>0</v>
      </c>
      <c r="M115" s="9">
        <f>'System Parameters'!I67</f>
        <v>0</v>
      </c>
      <c r="N115" s="9">
        <f>'System Parameters'!J67</f>
        <v>0</v>
      </c>
      <c r="O115" s="9">
        <f>'System Parameters'!K67</f>
        <v>0</v>
      </c>
      <c r="P115" s="9">
        <f>'System Parameters'!L67</f>
        <v>0</v>
      </c>
    </row>
    <row r="116" spans="1:16" ht="13" x14ac:dyDescent="0.15">
      <c r="A116" s="9" t="str">
        <f>'System Parameters'!A68</f>
        <v>Nominal Voltage</v>
      </c>
      <c r="B116" s="9">
        <f>'System Parameters'!B68</f>
        <v>3.7</v>
      </c>
      <c r="C116" s="9" t="str">
        <f>'System Parameters'!C68</f>
        <v>V</v>
      </c>
      <c r="D116" s="9">
        <f>'System Parameters'!D68</f>
        <v>0</v>
      </c>
      <c r="J116" s="9">
        <f>'System Parameters'!F68</f>
        <v>0</v>
      </c>
      <c r="K116" s="9">
        <f>'System Parameters'!G68</f>
        <v>0</v>
      </c>
      <c r="L116" s="9">
        <f>'System Parameters'!H68</f>
        <v>0</v>
      </c>
      <c r="M116" s="9">
        <f>'System Parameters'!I68</f>
        <v>0</v>
      </c>
      <c r="N116" s="9">
        <f>'System Parameters'!J68</f>
        <v>0</v>
      </c>
      <c r="O116" s="9">
        <f>'System Parameters'!K68</f>
        <v>0</v>
      </c>
      <c r="P116" s="9" t="str">
        <f>'System Parameters'!L68</f>
        <v>Days of Use</v>
      </c>
    </row>
    <row r="117" spans="1:16" ht="13" x14ac:dyDescent="0.15">
      <c r="A117" s="9" t="str">
        <f>'System Parameters'!A69</f>
        <v>Regulator Efficiency</v>
      </c>
      <c r="B117" s="9">
        <f>'System Parameters'!B69</f>
        <v>0.99</v>
      </c>
      <c r="C117" s="9">
        <f>'System Parameters'!C69</f>
        <v>0</v>
      </c>
      <c r="D117" s="9">
        <f>'System Parameters'!D69</f>
        <v>0</v>
      </c>
      <c r="J117" s="9">
        <f>'System Parameters'!F69</f>
        <v>0</v>
      </c>
      <c r="K117" s="9">
        <f>'System Parameters'!G69</f>
        <v>0</v>
      </c>
      <c r="L117" s="9">
        <f>'System Parameters'!H69</f>
        <v>0</v>
      </c>
      <c r="M117" s="9">
        <f>'System Parameters'!I69</f>
        <v>0</v>
      </c>
      <c r="N117" s="9">
        <f>'System Parameters'!J69</f>
        <v>0</v>
      </c>
      <c r="O117" s="9">
        <f>'System Parameters'!K69</f>
        <v>0</v>
      </c>
      <c r="P117" s="9" t="str">
        <f>'System Parameters'!L69</f>
        <v>Hours of Use</v>
      </c>
    </row>
    <row r="118" spans="1:16" ht="13" x14ac:dyDescent="0.15">
      <c r="A118" s="9">
        <f>'System Parameters'!A70</f>
        <v>0</v>
      </c>
      <c r="B118" s="9">
        <f>'System Parameters'!B70</f>
        <v>0</v>
      </c>
      <c r="C118" s="9">
        <f>'System Parameters'!C70</f>
        <v>0</v>
      </c>
      <c r="D118" s="9">
        <f>'System Parameters'!D70</f>
        <v>0</v>
      </c>
      <c r="J118" s="9">
        <f>'System Parameters'!F70</f>
        <v>0</v>
      </c>
      <c r="K118" s="9">
        <f>'System Parameters'!G70</f>
        <v>0</v>
      </c>
      <c r="L118" s="9">
        <f>'System Parameters'!H70</f>
        <v>0</v>
      </c>
      <c r="M118" s="9">
        <f>'System Parameters'!I70</f>
        <v>0</v>
      </c>
      <c r="N118" s="9">
        <f>'System Parameters'!J70</f>
        <v>0</v>
      </c>
      <c r="O118" s="9">
        <f>'System Parameters'!K70</f>
        <v>0</v>
      </c>
      <c r="P118" s="9">
        <f>'System Parameters'!L70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Jr.</cp:lastModifiedBy>
  <dcterms:modified xsi:type="dcterms:W3CDTF">2026-02-09T01:43:50Z</dcterms:modified>
</cp:coreProperties>
</file>